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2e90018362cd82/1.0 PROYECTOS DML/BAXTER/P2613 EVALUACION LOOP DE AGUA NUEVA CONDICION/4.0 PR- HOJAS DE DATOS/"/>
    </mc:Choice>
  </mc:AlternateContent>
  <xr:revisionPtr revIDLastSave="98" documentId="11_616BCA87EE4F572401D556F70763BC77A3C15363" xr6:coauthVersionLast="47" xr6:coauthVersionMax="47" xr10:uidLastSave="{6B04494A-3BBA-43B7-BC16-A59CFD7D9D5F}"/>
  <bookViews>
    <workbookView xWindow="-108" yWindow="-108" windowWidth="30936" windowHeight="16776" xr2:uid="{00000000-000D-0000-FFFF-FFFF00000000}"/>
  </bookViews>
  <sheets>
    <sheet name="PORTADA" sheetId="2" r:id="rId1"/>
    <sheet name="DS BOMBA" sheetId="1" r:id="rId2"/>
  </sheets>
  <definedNames>
    <definedName name="_xlnm.Print_Area" localSheetId="1">'DS BOMBA'!$A$8:$T$67</definedName>
    <definedName name="_xlnm.Print_Area" localSheetId="0">PORTADA!$A$1:$BP$62</definedName>
    <definedName name="_xlnm.Print_Titles" localSheetId="1">'DS BOMBA'!$1:$7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5" i="1" l="1"/>
  <c r="D65" i="1"/>
  <c r="AP42" i="2"/>
  <c r="BI2" i="2"/>
  <c r="BI3" i="2"/>
  <c r="BI4" i="2"/>
  <c r="BI5" i="2"/>
  <c r="BI6" i="2"/>
  <c r="BI1" i="2"/>
  <c r="Z5" i="2"/>
  <c r="Z3" i="2"/>
  <c r="Z1" i="2"/>
  <c r="N6" i="2"/>
</calcChain>
</file>

<file path=xl/sharedStrings.xml><?xml version="1.0" encoding="utf-8"?>
<sst xmlns="http://schemas.openxmlformats.org/spreadsheetml/2006/main" count="169" uniqueCount="135">
  <si>
    <t>DISEÑO DE INGENIERÍA</t>
  </si>
  <si>
    <t>CÓDIGO:</t>
  </si>
  <si>
    <t>P2613-PR-DT-001</t>
  </si>
  <si>
    <t xml:space="preserve">DIAGNOSTICOS DE SISTEMAS EN OPERACIÓN </t>
  </si>
  <si>
    <t>REVISIÓN:</t>
  </si>
  <si>
    <t>CERO (0)</t>
  </si>
  <si>
    <t>HOJA DE ESPECIFICACIONES - BOMBA WFI (CIP/VFD)</t>
  </si>
  <si>
    <t>ELABORO:</t>
  </si>
  <si>
    <t>J.ARBOLEDA</t>
  </si>
  <si>
    <t>REVISO:</t>
  </si>
  <si>
    <t>F.NAVIA</t>
  </si>
  <si>
    <t>PROYECTO</t>
  </si>
  <si>
    <t>P2613</t>
  </si>
  <si>
    <t>APROBO:</t>
  </si>
  <si>
    <t>H.ROSERO</t>
  </si>
  <si>
    <t>TAG</t>
  </si>
  <si>
    <t>AG-101</t>
  </si>
  <si>
    <t>RENDIMIENTO REV1 - CONTROL VFD</t>
  </si>
  <si>
    <t>Servicio</t>
  </si>
  <si>
    <t>Bomba WFI - Control por Variador (VFD)</t>
  </si>
  <si>
    <t>Unidades</t>
  </si>
  <si>
    <t>SI</t>
  </si>
  <si>
    <t>NORMAS APLICABLES</t>
  </si>
  <si>
    <t>ASME BPE - Edicion 2022 (Partes SD, SF, MJ)</t>
  </si>
  <si>
    <t>HI 9.6.1 / 9.6.3; 3-A Standard 02-12</t>
  </si>
  <si>
    <t>MATERIALES Y CONSTRUCCION (CIP/SIP)</t>
  </si>
  <si>
    <t>Humedas: ASTM A270 TP316L; Diseño Autodrenante (Self-Draining)</t>
  </si>
  <si>
    <t>Sello: Simple Balanceado. Caras: SiC/SiC; Elastometos: EPDM (USP Class VI)</t>
  </si>
  <si>
    <t>Acabado: SF4 (Electropulido Ra &lt;= 0.5 um); Carcasa con dren sanitario</t>
  </si>
  <si>
    <t>CONDICIONES DE OPERACIÓN Y UBICACIÓN</t>
  </si>
  <si>
    <t>Fluido 1</t>
  </si>
  <si>
    <t>WFI / Soluciones CIP (Soda/Acido)</t>
  </si>
  <si>
    <t>Fluido 2</t>
  </si>
  <si>
    <t>N.A.</t>
  </si>
  <si>
    <t>Fluido 3</t>
  </si>
  <si>
    <t>Total solidos disueltos</t>
  </si>
  <si>
    <t>% P/P</t>
  </si>
  <si>
    <t>Total solidos suspendidos</t>
  </si>
  <si>
    <t>Gravedad especifica</t>
  </si>
  <si>
    <t>Viscosidad</t>
  </si>
  <si>
    <t>cP</t>
  </si>
  <si>
    <t>Presion</t>
  </si>
  <si>
    <t>Barg</t>
  </si>
  <si>
    <t>Temperatura operación</t>
  </si>
  <si>
    <t>°C</t>
  </si>
  <si>
    <t>Temperatura maxima</t>
  </si>
  <si>
    <t>PH</t>
  </si>
  <si>
    <t>5.0 - 7.0</t>
  </si>
  <si>
    <t>Tamaño de particula normal</t>
  </si>
  <si>
    <t>micrometros</t>
  </si>
  <si>
    <t>Tamaño de particula maximo</t>
  </si>
  <si>
    <t>R.P.M motor Agitador</t>
  </si>
  <si>
    <t>R.P.M.</t>
  </si>
  <si>
    <t>DATOS TÉCNICOS DE LA BOMBA</t>
  </si>
  <si>
    <t>Tipo de bomba</t>
  </si>
  <si>
    <t>Centrifuga Sanitaria BPE - Optimizada para CIP</t>
  </si>
  <si>
    <t>Caudal operacion</t>
  </si>
  <si>
    <t>m3/h</t>
  </si>
  <si>
    <t>Altura total dinamica</t>
  </si>
  <si>
    <t>m</t>
  </si>
  <si>
    <t>NPSH requerido (max)</t>
  </si>
  <si>
    <t>Caudal minimo continuo</t>
  </si>
  <si>
    <t>Velocidad bomba</t>
  </si>
  <si>
    <t>rpm</t>
  </si>
  <si>
    <t>Eficiencia minima @ duty</t>
  </si>
  <si>
    <t>%</t>
  </si>
  <si>
    <t>Potencia frenado @ duty</t>
  </si>
  <si>
    <t>hp</t>
  </si>
  <si>
    <t>Diametro succion x descarga</t>
  </si>
  <si>
    <t>pulgadas</t>
  </si>
  <si>
    <t>2 x 1,5</t>
  </si>
  <si>
    <t>ESPECIFICACIONES DEL MOTOR (INVERTER DUTY)</t>
  </si>
  <si>
    <t>Motor (c)</t>
  </si>
  <si>
    <t>Potencia nominal</t>
  </si>
  <si>
    <t>RPM nominal</t>
  </si>
  <si>
    <t>Frame</t>
  </si>
  <si>
    <t>-</t>
  </si>
  <si>
    <t>284TS</t>
  </si>
  <si>
    <t>Tipo de enclosure</t>
  </si>
  <si>
    <t>TEFC - Inverter Duty (Protección PTC)</t>
  </si>
  <si>
    <t>Grado de proteccion</t>
  </si>
  <si>
    <t>IP</t>
  </si>
  <si>
    <t>55 minimo</t>
  </si>
  <si>
    <t>Clase de aislamiento</t>
  </si>
  <si>
    <t>F</t>
  </si>
  <si>
    <t>S1</t>
  </si>
  <si>
    <t>Voltaje / Frecuencia / Fases</t>
  </si>
  <si>
    <t>V / Hz / ph</t>
  </si>
  <si>
    <t>440 / 60 / 3</t>
  </si>
  <si>
    <t>Factor de servicio</t>
  </si>
  <si>
    <t>Factor de servicio: 1,15 minimo</t>
  </si>
  <si>
    <t>Montaje</t>
  </si>
  <si>
    <t>Montaje: Horizontal, acoplamiento directo al motor</t>
  </si>
  <si>
    <t>Direccion de rotacion</t>
  </si>
  <si>
    <t>Direccion de rotacion: Horaria vista desde el lado motor</t>
  </si>
  <si>
    <t>NOTAS TÉCNICAS Y REQUERIMIENTOS</t>
  </si>
  <si>
    <t>(a)</t>
  </si>
  <si>
    <t>Conexiones Tri-Clamp ASME BPE. Puerto de drenaje en punto mas bajo.</t>
  </si>
  <si>
    <t>(b)</t>
  </si>
  <si>
    <t>Bomba 100% compatible con sistemas CIP (sin zonas muertas).</t>
  </si>
  <si>
    <t>(c)</t>
  </si>
  <si>
    <t>Operación con Variador (VFD). Motor apto para picos de tensión e IGBT.</t>
  </si>
  <si>
    <t>(d)</t>
  </si>
  <si>
    <t>Apta para esterilización SIP (121.1 C / 2 bar-g).</t>
  </si>
  <si>
    <t>(e)</t>
  </si>
  <si>
    <t>Punto REV1: 33.16 m3/h (146 gpm) @ 82.5 m (270.7 ft).</t>
  </si>
  <si>
    <t>(f)</t>
  </si>
  <si>
    <t>Certificados: Material 3.1, Rugosidad Ra, USP Class VI.</t>
  </si>
  <si>
    <t>23/04/2026</t>
  </si>
  <si>
    <t>EMISION INICIAL</t>
  </si>
  <si>
    <t>REVISION</t>
  </si>
  <si>
    <t>FECHA</t>
  </si>
  <si>
    <t>REALIZO</t>
  </si>
  <si>
    <t>REVISO</t>
  </si>
  <si>
    <t>APROBO</t>
  </si>
  <si>
    <t>DESCRIPCION</t>
  </si>
  <si>
    <t>FECHA:</t>
  </si>
  <si>
    <t>ELABORÓ:</t>
  </si>
  <si>
    <t>REVISÓ:</t>
  </si>
  <si>
    <t>APROBÓ:</t>
  </si>
  <si>
    <t>Elaborado por:</t>
  </si>
  <si>
    <t>Revisado por:</t>
  </si>
  <si>
    <t>Aprobado por:</t>
  </si>
  <si>
    <t>Versión</t>
  </si>
  <si>
    <t>Autor</t>
  </si>
  <si>
    <t>Descripción</t>
  </si>
  <si>
    <t>Fecha de elaboración</t>
  </si>
  <si>
    <t>Fecha de revisión</t>
  </si>
  <si>
    <t>Revisado por</t>
  </si>
  <si>
    <t xml:space="preserve">EMITIDO PARA INFORMACION </t>
  </si>
  <si>
    <t>UNO (1)</t>
  </si>
  <si>
    <t>ACTUALIZACION ESCENARIO MAX</t>
  </si>
  <si>
    <t>Fecha: 26/04/2026</t>
  </si>
  <si>
    <t>Fecha:29/04/2026</t>
  </si>
  <si>
    <t>Fecha: 29/04/2026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</si>
</sst>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d/yyyy;@"/>
    <numFmt numFmtId="165" formatCode="0.0"/>
    <numFmt numFmtId="166" formatCode="_(* #,##0.00_);_(* \(#,##0.00\);_(* &quot;-&quot;??_);_(@_)"/>
  </numFmts>
  <fonts count="2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003366"/>
      <name val="Times New Roman"/>
    </font>
    <font>
      <b/>
      <sz val="10"/>
      <color rgb="FF000000"/>
      <name val="Times New Roman"/>
    </font>
    <font>
      <sz val="12"/>
      <color theme="1"/>
      <name val="Verdana"/>
      <family val="2"/>
    </font>
    <font>
      <sz val="12"/>
      <color rgb="FFEAEAEA"/>
      <name val="Verdana"/>
      <family val="2"/>
    </font>
    <font>
      <b/>
      <sz val="12"/>
      <color theme="1"/>
      <name val="Verdana"/>
      <family val="2"/>
    </font>
    <font>
      <sz val="9"/>
      <color rgb="FF00B050"/>
      <name val="Verdana"/>
      <family val="2"/>
    </font>
    <font>
      <b/>
      <sz val="9"/>
      <name val="Verdana"/>
      <family val="2"/>
    </font>
    <font>
      <sz val="9"/>
      <color theme="1"/>
      <name val="Verdana"/>
      <family val="2"/>
    </font>
    <font>
      <sz val="9"/>
      <color rgb="FF000000"/>
      <name val="Times New Roman"/>
      <family val="1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8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14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0" fontId="4" fillId="0" borderId="2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shrinkToFit="1"/>
    </xf>
    <xf numFmtId="1" fontId="6" fillId="0" borderId="24" xfId="0" applyNumberFormat="1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left" vertical="top"/>
    </xf>
    <xf numFmtId="0" fontId="3" fillId="0" borderId="2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0" fillId="4" borderId="21" xfId="0" applyFont="1" applyFill="1" applyBorder="1" applyAlignment="1">
      <alignment horizontal="left" vertical="top"/>
    </xf>
    <xf numFmtId="0" fontId="4" fillId="4" borderId="0" xfId="0" applyFont="1" applyFill="1" applyAlignment="1">
      <alignment horizontal="center" vertical="top" wrapText="1"/>
    </xf>
    <xf numFmtId="1" fontId="7" fillId="4" borderId="0" xfId="0" applyNumberFormat="1" applyFont="1" applyFill="1" applyAlignment="1">
      <alignment horizontal="center" vertical="center" shrinkToFit="1"/>
    </xf>
    <xf numFmtId="1" fontId="7" fillId="4" borderId="24" xfId="0" applyNumberFormat="1" applyFont="1" applyFill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top" wrapText="1"/>
    </xf>
    <xf numFmtId="0" fontId="0" fillId="0" borderId="6" xfId="0" applyBorder="1"/>
    <xf numFmtId="0" fontId="10" fillId="4" borderId="33" xfId="0" applyFont="1" applyFill="1" applyBorder="1" applyAlignment="1">
      <alignment horizontal="center" vertical="top" wrapText="1"/>
    </xf>
    <xf numFmtId="0" fontId="0" fillId="3" borderId="8" xfId="0" applyFill="1" applyBorder="1"/>
    <xf numFmtId="0" fontId="0" fillId="0" borderId="8" xfId="0" applyBorder="1"/>
    <xf numFmtId="0" fontId="0" fillId="0" borderId="9" xfId="0" applyBorder="1"/>
    <xf numFmtId="0" fontId="3" fillId="0" borderId="37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3" fillId="0" borderId="3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1" fontId="7" fillId="0" borderId="38" xfId="0" applyNumberFormat="1" applyFont="1" applyBorder="1" applyAlignment="1">
      <alignment horizontal="center" vertical="top" shrinkToFit="1"/>
    </xf>
    <xf numFmtId="0" fontId="0" fillId="0" borderId="14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8" fillId="0" borderId="44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2" fillId="0" borderId="1" xfId="0" applyFont="1" applyBorder="1" applyAlignment="1">
      <alignment horizontal="left" wrapText="1"/>
    </xf>
    <xf numFmtId="1" fontId="6" fillId="0" borderId="40" xfId="0" applyNumberFormat="1" applyFont="1" applyBorder="1" applyAlignment="1">
      <alignment horizontal="center" vertical="center" shrinkToFit="1"/>
    </xf>
    <xf numFmtId="0" fontId="0" fillId="0" borderId="15" xfId="0" applyBorder="1"/>
    <xf numFmtId="0" fontId="0" fillId="0" borderId="17" xfId="0" applyBorder="1"/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5" xfId="0" applyBorder="1"/>
    <xf numFmtId="0" fontId="7" fillId="0" borderId="38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center" vertical="top" wrapText="1"/>
    </xf>
    <xf numFmtId="0" fontId="3" fillId="0" borderId="39" xfId="0" applyFont="1" applyBorder="1" applyAlignment="1">
      <alignment horizontal="left" vertical="top" wrapText="1"/>
    </xf>
    <xf numFmtId="0" fontId="0" fillId="0" borderId="16" xfId="0" applyBorder="1"/>
    <xf numFmtId="0" fontId="0" fillId="0" borderId="21" xfId="0" applyBorder="1"/>
    <xf numFmtId="0" fontId="2" fillId="0" borderId="0" xfId="0" applyFont="1" applyAlignment="1">
      <alignment horizontal="left" vertical="top"/>
    </xf>
    <xf numFmtId="0" fontId="9" fillId="3" borderId="36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2" xfId="0" applyBorder="1"/>
    <xf numFmtId="0" fontId="0" fillId="0" borderId="30" xfId="0" applyBorder="1"/>
    <xf numFmtId="0" fontId="7" fillId="0" borderId="1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center" vertical="center" wrapText="1"/>
    </xf>
    <xf numFmtId="0" fontId="0" fillId="0" borderId="19" xfId="0" applyBorder="1"/>
    <xf numFmtId="1" fontId="6" fillId="0" borderId="38" xfId="0" applyNumberFormat="1" applyFont="1" applyBorder="1" applyAlignment="1">
      <alignment horizontal="center" vertical="top" shrinkToFit="1"/>
    </xf>
    <xf numFmtId="0" fontId="6" fillId="0" borderId="38" xfId="0" applyFont="1" applyBorder="1" applyAlignment="1">
      <alignment horizontal="center" vertical="top" wrapText="1"/>
    </xf>
    <xf numFmtId="0" fontId="10" fillId="4" borderId="42" xfId="0" applyFont="1" applyFill="1" applyBorder="1" applyAlignment="1">
      <alignment horizontal="left" vertical="top" wrapText="1" indent="13"/>
    </xf>
    <xf numFmtId="0" fontId="0" fillId="4" borderId="12" xfId="0" applyFill="1" applyBorder="1"/>
    <xf numFmtId="0" fontId="0" fillId="4" borderId="13" xfId="0" applyFill="1" applyBorder="1"/>
    <xf numFmtId="2" fontId="7" fillId="0" borderId="38" xfId="0" applyNumberFormat="1" applyFont="1" applyBorder="1" applyAlignment="1">
      <alignment horizontal="center" vertical="top" shrinkToFit="1"/>
    </xf>
    <xf numFmtId="165" fontId="7" fillId="0" borderId="38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4" fillId="0" borderId="43" xfId="0" applyFont="1" applyBorder="1" applyAlignment="1">
      <alignment horizontal="center" vertical="top" wrapText="1"/>
    </xf>
    <xf numFmtId="0" fontId="0" fillId="0" borderId="18" xfId="0" applyBorder="1"/>
    <xf numFmtId="1" fontId="6" fillId="0" borderId="40" xfId="0" applyNumberFormat="1" applyFont="1" applyBorder="1" applyAlignment="1">
      <alignment horizontal="center" vertical="top" shrinkToFit="1"/>
    </xf>
    <xf numFmtId="0" fontId="3" fillId="0" borderId="39" xfId="0" applyFont="1" applyBorder="1" applyAlignment="1">
      <alignment horizontal="center" vertical="top" wrapText="1"/>
    </xf>
    <xf numFmtId="0" fontId="10" fillId="4" borderId="42" xfId="0" applyFont="1" applyFill="1" applyBorder="1" applyAlignment="1">
      <alignment horizontal="center" vertical="top" wrapText="1"/>
    </xf>
    <xf numFmtId="0" fontId="3" fillId="0" borderId="4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left" vertical="top" indent="3"/>
    </xf>
    <xf numFmtId="0" fontId="7" fillId="0" borderId="40" xfId="0" applyFont="1" applyBorder="1" applyAlignment="1">
      <alignment horizontal="center" vertical="top" wrapText="1"/>
    </xf>
    <xf numFmtId="0" fontId="6" fillId="0" borderId="40" xfId="0" applyFont="1" applyBorder="1" applyAlignment="1">
      <alignment horizontal="center" vertical="top" wrapText="1"/>
    </xf>
    <xf numFmtId="0" fontId="4" fillId="0" borderId="36" xfId="0" applyFont="1" applyBorder="1" applyAlignment="1">
      <alignment horizontal="center" vertical="top" wrapText="1"/>
    </xf>
    <xf numFmtId="0" fontId="0" fillId="0" borderId="28" xfId="0" applyBorder="1"/>
    <xf numFmtId="0" fontId="10" fillId="4" borderId="34" xfId="0" applyFont="1" applyFill="1" applyBorder="1" applyAlignment="1">
      <alignment horizontal="center" vertical="top"/>
    </xf>
    <xf numFmtId="0" fontId="0" fillId="4" borderId="0" xfId="0" applyFill="1"/>
    <xf numFmtId="0" fontId="0" fillId="4" borderId="24" xfId="0" applyFill="1" applyBorder="1"/>
    <xf numFmtId="0" fontId="6" fillId="0" borderId="38" xfId="0" applyFont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left" vertical="top" wrapText="1" indent="11"/>
    </xf>
    <xf numFmtId="0" fontId="10" fillId="0" borderId="45" xfId="0" applyFont="1" applyFill="1" applyBorder="1" applyAlignment="1">
      <alignment horizontal="left" vertical="top" wrapText="1"/>
    </xf>
    <xf numFmtId="0" fontId="0" fillId="0" borderId="22" xfId="0" applyFill="1" applyBorder="1"/>
    <xf numFmtId="0" fontId="0" fillId="0" borderId="23" xfId="0" applyFill="1" applyBorder="1"/>
    <xf numFmtId="0" fontId="0" fillId="0" borderId="21" xfId="0" applyFill="1" applyBorder="1"/>
    <xf numFmtId="0" fontId="2" fillId="0" borderId="0" xfId="0" applyFont="1" applyFill="1" applyAlignment="1">
      <alignment horizontal="left" vertical="top"/>
    </xf>
    <xf numFmtId="0" fontId="0" fillId="0" borderId="24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27" xfId="0" applyFill="1" applyBorder="1"/>
    <xf numFmtId="0" fontId="11" fillId="0" borderId="0" xfId="1" applyFont="1"/>
    <xf numFmtId="0" fontId="11" fillId="0" borderId="0" xfId="1" applyFont="1" applyAlignment="1">
      <alignment horizontal="center"/>
    </xf>
    <xf numFmtId="165" fontId="11" fillId="0" borderId="0" xfId="1" applyNumberFormat="1" applyFont="1" applyAlignment="1">
      <alignment horizontal="center"/>
    </xf>
    <xf numFmtId="0" fontId="11" fillId="0" borderId="0" xfId="1" applyFont="1" applyAlignment="1">
      <alignment horizontal="left"/>
    </xf>
    <xf numFmtId="0" fontId="12" fillId="0" borderId="0" xfId="2" applyFont="1"/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horizontal="left" vertical="center"/>
    </xf>
    <xf numFmtId="1" fontId="11" fillId="0" borderId="0" xfId="1" applyNumberFormat="1" applyFont="1" applyAlignment="1">
      <alignment horizontal="center"/>
    </xf>
    <xf numFmtId="166" fontId="11" fillId="0" borderId="0" xfId="3" applyFont="1" applyFill="1" applyBorder="1" applyAlignment="1">
      <alignment vertical="center"/>
    </xf>
    <xf numFmtId="0" fontId="11" fillId="0" borderId="0" xfId="1" applyFont="1" applyAlignment="1">
      <alignment vertical="center"/>
    </xf>
    <xf numFmtId="164" fontId="2" fillId="0" borderId="1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2" borderId="46" xfId="1" applyFont="1" applyFill="1" applyBorder="1" applyAlignment="1">
      <alignment horizontal="center" vertical="center"/>
    </xf>
    <xf numFmtId="0" fontId="13" fillId="2" borderId="46" xfId="1" applyFont="1" applyFill="1" applyBorder="1" applyAlignment="1">
      <alignment horizontal="center" vertical="center" wrapText="1"/>
    </xf>
    <xf numFmtId="165" fontId="13" fillId="2" borderId="46" xfId="1" applyNumberFormat="1" applyFont="1" applyFill="1" applyBorder="1" applyAlignment="1">
      <alignment horizontal="center" vertical="center" wrapText="1"/>
    </xf>
    <xf numFmtId="0" fontId="14" fillId="0" borderId="46" xfId="1" applyFont="1" applyBorder="1" applyAlignment="1">
      <alignment horizontal="center" vertical="center"/>
    </xf>
    <xf numFmtId="0" fontId="15" fillId="0" borderId="46" xfId="1" applyFont="1" applyBorder="1" applyAlignment="1">
      <alignment horizontal="center" vertical="center"/>
    </xf>
    <xf numFmtId="0" fontId="15" fillId="0" borderId="47" xfId="1" applyFont="1" applyBorder="1" applyAlignment="1">
      <alignment vertical="center"/>
    </xf>
    <xf numFmtId="0" fontId="15" fillId="0" borderId="48" xfId="1" applyFont="1" applyBorder="1" applyAlignment="1">
      <alignment horizontal="center" vertical="center"/>
    </xf>
    <xf numFmtId="0" fontId="15" fillId="0" borderId="49" xfId="1" applyFont="1" applyBorder="1" applyAlignment="1">
      <alignment horizontal="left" vertical="center"/>
    </xf>
    <xf numFmtId="0" fontId="16" fillId="0" borderId="47" xfId="2" applyFont="1" applyBorder="1" applyAlignment="1">
      <alignment horizontal="left" vertical="center"/>
    </xf>
    <xf numFmtId="0" fontId="16" fillId="0" borderId="48" xfId="2" applyFont="1" applyBorder="1" applyAlignment="1">
      <alignment horizontal="left" vertical="center"/>
    </xf>
    <xf numFmtId="0" fontId="16" fillId="0" borderId="49" xfId="2" applyFont="1" applyBorder="1" applyAlignment="1">
      <alignment horizontal="left" vertical="center"/>
    </xf>
    <xf numFmtId="0" fontId="16" fillId="0" borderId="0" xfId="2" applyFont="1"/>
    <xf numFmtId="0" fontId="15" fillId="0" borderId="46" xfId="1" applyFont="1" applyBorder="1" applyAlignment="1">
      <alignment horizontal="center" vertical="center" wrapText="1"/>
    </xf>
    <xf numFmtId="0" fontId="17" fillId="0" borderId="0" xfId="0" applyFont="1" applyFill="1" applyAlignment="1">
      <alignment horizontal="left" vertical="top"/>
    </xf>
    <xf numFmtId="0" fontId="17" fillId="0" borderId="24" xfId="0" applyFont="1" applyFill="1" applyBorder="1"/>
    <xf numFmtId="0" fontId="17" fillId="0" borderId="0" xfId="0" applyFont="1" applyAlignment="1">
      <alignment horizontal="left" vertical="top"/>
    </xf>
    <xf numFmtId="0" fontId="18" fillId="0" borderId="46" xfId="1" applyFont="1" applyBorder="1" applyAlignment="1">
      <alignment horizontal="center" vertical="center"/>
    </xf>
    <xf numFmtId="0" fontId="19" fillId="0" borderId="46" xfId="1" applyFont="1" applyBorder="1" applyAlignment="1">
      <alignment horizontal="center" vertical="center"/>
    </xf>
    <xf numFmtId="0" fontId="20" fillId="0" borderId="0" xfId="0" applyFont="1" applyFill="1" applyAlignment="1">
      <alignment horizontal="left" vertical="top"/>
    </xf>
    <xf numFmtId="0" fontId="20" fillId="0" borderId="24" xfId="0" applyFont="1" applyFill="1" applyBorder="1"/>
    <xf numFmtId="0" fontId="20" fillId="0" borderId="0" xfId="0" applyFont="1" applyAlignment="1">
      <alignment horizontal="left" vertical="top"/>
    </xf>
    <xf numFmtId="0" fontId="16" fillId="0" borderId="46" xfId="1" applyFont="1" applyBorder="1" applyAlignment="1">
      <alignment horizontal="center" vertical="center" wrapText="1"/>
    </xf>
    <xf numFmtId="165" fontId="16" fillId="0" borderId="46" xfId="1" applyNumberFormat="1" applyFont="1" applyBorder="1" applyAlignment="1">
      <alignment horizontal="center" vertical="center" wrapText="1"/>
    </xf>
    <xf numFmtId="14" fontId="16" fillId="0" borderId="46" xfId="1" applyNumberFormat="1" applyFont="1" applyBorder="1" applyAlignment="1">
      <alignment horizontal="center" vertical="center" wrapText="1"/>
    </xf>
    <xf numFmtId="14" fontId="16" fillId="0" borderId="47" xfId="2" applyNumberFormat="1" applyFont="1" applyBorder="1" applyAlignment="1">
      <alignment horizontal="left" vertical="center"/>
    </xf>
    <xf numFmtId="14" fontId="16" fillId="0" borderId="48" xfId="2" applyNumberFormat="1" applyFont="1" applyBorder="1" applyAlignment="1">
      <alignment horizontal="left" vertical="center"/>
    </xf>
    <xf numFmtId="14" fontId="16" fillId="0" borderId="49" xfId="2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20" fillId="0" borderId="0" xfId="0" applyFont="1" applyFill="1" applyAlignment="1">
      <alignment horizontal="center" vertical="top"/>
    </xf>
    <xf numFmtId="0" fontId="20" fillId="0" borderId="24" xfId="0" applyFont="1" applyFill="1" applyBorder="1" applyAlignment="1">
      <alignment horizontal="center"/>
    </xf>
    <xf numFmtId="0" fontId="20" fillId="0" borderId="0" xfId="0" applyFont="1" applyAlignment="1">
      <alignment horizontal="center" vertical="top"/>
    </xf>
    <xf numFmtId="14" fontId="2" fillId="0" borderId="1" xfId="0" applyNumberFormat="1" applyFont="1" applyBorder="1" applyAlignment="1">
      <alignment horizontal="left" vertical="top" shrinkToFit="1"/>
    </xf>
    <xf numFmtId="14" fontId="0" fillId="0" borderId="4" xfId="0" applyNumberFormat="1" applyBorder="1"/>
  </cellXfs>
  <cellStyles count="4">
    <cellStyle name="Millares 2" xfId="3" xr:uid="{C5EAE4A6-3FE4-4093-A574-69CEB3C81941}"/>
    <cellStyle name="Normal" xfId="0" builtinId="0"/>
    <cellStyle name="Normal 3 2" xfId="2" xr:uid="{B5D6585F-8613-48E0-9DAA-17F8EDC41168}"/>
    <cellStyle name="Normal 6" xfId="1" xr:uid="{9804A68E-9436-4AFE-9E25-E5383B8B91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2.png"/><Relationship Id="rId1" Type="http://schemas.openxmlformats.org/officeDocument/2006/relationships/customXml" Target="../ink/ink1.xml"/><Relationship Id="rId6" Type="http://schemas.openxmlformats.org/officeDocument/2006/relationships/image" Target="../media/image1.png"/><Relationship Id="rId5" Type="http://schemas.openxmlformats.org/officeDocument/2006/relationships/image" Target="../media/image40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144078</xdr:colOff>
      <xdr:row>34</xdr:row>
      <xdr:rowOff>18321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828C38E9-EC1F-4DDD-B791-0DC16E66416E}"/>
                </a:ext>
              </a:extLst>
            </xdr14:cNvPr>
            <xdr14:cNvContentPartPr/>
          </xdr14:nvContentPartPr>
          <xdr14:nvPr macro=""/>
          <xdr14:xfrm>
            <a:off x="2014442" y="6460685"/>
            <a:ext cx="360" cy="36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23034685-493A-483D-95BB-1E354CB4D11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03240" y="5085889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58585</xdr:colOff>
      <xdr:row>0</xdr:row>
      <xdr:rowOff>99282</xdr:rowOff>
    </xdr:from>
    <xdr:to>
      <xdr:col>10</xdr:col>
      <xdr:colOff>99391</xdr:colOff>
      <xdr:row>3</xdr:row>
      <xdr:rowOff>106713</xdr:rowOff>
    </xdr:to>
    <xdr:pic>
      <xdr:nvPicPr>
        <xdr:cNvPr id="4" name="Imagen 3" descr="image001">
          <a:extLst>
            <a:ext uri="{FF2B5EF4-FFF2-40B4-BE49-F238E27FC236}">
              <a16:creationId xmlns:a16="http://schemas.microsoft.com/office/drawing/2014/main" id="{0E712E56-BA12-4C78-990B-0DF47D23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6881" y="99282"/>
          <a:ext cx="1153988" cy="500880"/>
        </a:xfrm>
        <a:prstGeom prst="rect">
          <a:avLst/>
        </a:prstGeom>
      </xdr:spPr>
    </xdr:pic>
    <xdr:clientData/>
  </xdr:twoCellAnchor>
  <xdr:twoCellAnchor editAs="oneCell">
    <xdr:from>
      <xdr:col>14</xdr:col>
      <xdr:colOff>36112</xdr:colOff>
      <xdr:row>1</xdr:row>
      <xdr:rowOff>11927</xdr:rowOff>
    </xdr:from>
    <xdr:to>
      <xdr:col>23</xdr:col>
      <xdr:colOff>38652</xdr:colOff>
      <xdr:row>3</xdr:row>
      <xdr:rowOff>46692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02CF57C-3DAE-4619-B27B-387395050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84182" y="157701"/>
          <a:ext cx="1254870" cy="3621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37483</xdr:rowOff>
    </xdr:from>
    <xdr:to>
      <xdr:col>1</xdr:col>
      <xdr:colOff>694117</xdr:colOff>
      <xdr:row>3</xdr:row>
      <xdr:rowOff>235324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84012"/>
          <a:ext cx="1489735" cy="6909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9896</xdr:colOff>
      <xdr:row>1</xdr:row>
      <xdr:rowOff>178132</xdr:rowOff>
    </xdr:from>
    <xdr:to>
      <xdr:col>3</xdr:col>
      <xdr:colOff>811481</xdr:colOff>
      <xdr:row>3</xdr:row>
      <xdr:rowOff>152518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2441" y="435430"/>
          <a:ext cx="1632858" cy="48898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389905</xdr:colOff>
      <xdr:row>11</xdr:row>
      <xdr:rowOff>37602</xdr:rowOff>
    </xdr:from>
    <xdr:to>
      <xdr:col>19</xdr:col>
      <xdr:colOff>330530</xdr:colOff>
      <xdr:row>55</xdr:row>
      <xdr:rowOff>41563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6778" y="2725384"/>
          <a:ext cx="10303825" cy="10367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29T20:25:05.26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1296 0 0,'0'0'0'0'0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26FF-4189-4293-8ECA-B5A7117B7E14}">
  <sheetPr>
    <pageSetUpPr fitToPage="1"/>
  </sheetPr>
  <dimension ref="A1:BT54"/>
  <sheetViews>
    <sheetView tabSelected="1" view="pageBreakPreview" zoomScale="85" zoomScaleNormal="70" zoomScaleSheetLayoutView="85" workbookViewId="0">
      <selection activeCell="CE21" sqref="CE21"/>
    </sheetView>
  </sheetViews>
  <sheetFormatPr baseColWidth="10" defaultColWidth="3.109375" defaultRowHeight="12" customHeight="1" x14ac:dyDescent="0.3"/>
  <cols>
    <col min="1" max="25" width="2" style="94" customWidth="1"/>
    <col min="26" max="48" width="3.109375" style="94"/>
    <col min="49" max="53" width="3.109375" style="97"/>
    <col min="54" max="54" width="3.109375" style="94"/>
    <col min="55" max="68" width="3.6640625" style="94" customWidth="1"/>
    <col min="69" max="16384" width="3.109375" style="94"/>
  </cols>
  <sheetData>
    <row r="1" spans="1:72" s="119" customFormat="1" ht="13.05" customHeight="1" x14ac:dyDescent="0.2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 t="str">
        <f>'DS BOMBA'!$E$1</f>
        <v>DISEÑO DE INGENIERÍA</v>
      </c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3" t="s">
        <v>1</v>
      </c>
      <c r="BD1" s="114"/>
      <c r="BE1" s="114"/>
      <c r="BF1" s="114"/>
      <c r="BG1" s="114"/>
      <c r="BH1" s="115"/>
      <c r="BI1" s="116" t="str">
        <f>'DS BOMBA'!S1</f>
        <v>P2613-PR-DT-001</v>
      </c>
      <c r="BJ1" s="117"/>
      <c r="BK1" s="117"/>
      <c r="BL1" s="117"/>
      <c r="BM1" s="117"/>
      <c r="BN1" s="117"/>
      <c r="BO1" s="117"/>
      <c r="BP1" s="118"/>
    </row>
    <row r="2" spans="1:72" s="119" customFormat="1" ht="13.05" customHeight="1" x14ac:dyDescent="0.2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3" t="s">
        <v>4</v>
      </c>
      <c r="BD2" s="114"/>
      <c r="BE2" s="114"/>
      <c r="BF2" s="114"/>
      <c r="BG2" s="114"/>
      <c r="BH2" s="115"/>
      <c r="BI2" s="116" t="str">
        <f>'DS BOMBA'!S2</f>
        <v>UNO (1)</v>
      </c>
      <c r="BJ2" s="117"/>
      <c r="BK2" s="117"/>
      <c r="BL2" s="117"/>
      <c r="BM2" s="117"/>
      <c r="BN2" s="117"/>
      <c r="BO2" s="117"/>
      <c r="BP2" s="118"/>
    </row>
    <row r="3" spans="1:72" s="119" customFormat="1" ht="13.05" customHeight="1" x14ac:dyDescent="0.2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2" t="str">
        <f>'DS BOMBA'!$E$2</f>
        <v xml:space="preserve">DIAGNOSTICOS DE SISTEMAS EN OPERACIÓN </v>
      </c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3" t="s">
        <v>116</v>
      </c>
      <c r="BD3" s="114"/>
      <c r="BE3" s="114"/>
      <c r="BF3" s="114"/>
      <c r="BG3" s="114"/>
      <c r="BH3" s="115"/>
      <c r="BI3" s="132">
        <f>'DS BOMBA'!S3</f>
        <v>46138</v>
      </c>
      <c r="BJ3" s="133"/>
      <c r="BK3" s="133"/>
      <c r="BL3" s="133"/>
      <c r="BM3" s="133"/>
      <c r="BN3" s="133"/>
      <c r="BO3" s="133"/>
      <c r="BP3" s="134"/>
    </row>
    <row r="4" spans="1:72" s="119" customFormat="1" ht="13.05" customHeight="1" x14ac:dyDescent="0.2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3" t="s">
        <v>117</v>
      </c>
      <c r="BD4" s="114"/>
      <c r="BE4" s="114"/>
      <c r="BF4" s="114"/>
      <c r="BG4" s="114"/>
      <c r="BH4" s="115"/>
      <c r="BI4" s="116" t="str">
        <f>'DS BOMBA'!S4</f>
        <v>J.ARBOLEDA</v>
      </c>
      <c r="BJ4" s="117"/>
      <c r="BK4" s="117"/>
      <c r="BL4" s="117"/>
      <c r="BM4" s="117"/>
      <c r="BN4" s="117"/>
      <c r="BO4" s="117"/>
      <c r="BP4" s="118"/>
    </row>
    <row r="5" spans="1:72" s="119" customFormat="1" ht="13.05" customHeight="1" x14ac:dyDescent="0.2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20" t="str">
        <f>'DS BOMBA'!$E$4</f>
        <v>HOJA DE ESPECIFICACIONES - BOMBA WFI (CIP/VFD)</v>
      </c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13" t="s">
        <v>118</v>
      </c>
      <c r="BD5" s="114"/>
      <c r="BE5" s="114"/>
      <c r="BF5" s="114"/>
      <c r="BG5" s="114"/>
      <c r="BH5" s="115"/>
      <c r="BI5" s="116" t="str">
        <f>'DS BOMBA'!S5</f>
        <v>F.NAVIA</v>
      </c>
      <c r="BJ5" s="117"/>
      <c r="BK5" s="117"/>
      <c r="BL5" s="117"/>
      <c r="BM5" s="117"/>
      <c r="BN5" s="117"/>
      <c r="BO5" s="117"/>
      <c r="BP5" s="118"/>
    </row>
    <row r="6" spans="1:72" s="119" customFormat="1" ht="13.05" customHeight="1" x14ac:dyDescent="0.2">
      <c r="A6" s="112" t="s">
        <v>11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 t="str">
        <f>'DS BOMBA'!$C$6</f>
        <v>P2613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13" t="s">
        <v>119</v>
      </c>
      <c r="BD6" s="114"/>
      <c r="BE6" s="114"/>
      <c r="BF6" s="114"/>
      <c r="BG6" s="114"/>
      <c r="BH6" s="115"/>
      <c r="BI6" s="116" t="str">
        <f>'DS BOMBA'!S6</f>
        <v>H.ROSERO</v>
      </c>
      <c r="BJ6" s="117"/>
      <c r="BK6" s="117"/>
      <c r="BL6" s="117"/>
      <c r="BM6" s="117"/>
      <c r="BN6" s="117"/>
      <c r="BO6" s="117"/>
      <c r="BP6" s="118"/>
    </row>
    <row r="7" spans="1:72" ht="12" customHeight="1" x14ac:dyDescent="0.3"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6"/>
      <c r="AD7" s="95"/>
      <c r="AE7" s="95"/>
      <c r="AF7" s="95"/>
      <c r="BT7" s="98"/>
    </row>
    <row r="8" spans="1:72" ht="12" customHeight="1" x14ac:dyDescent="0.3"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6"/>
      <c r="AD8" s="95"/>
      <c r="AE8" s="95"/>
      <c r="AF8" s="95"/>
      <c r="BT8" s="98"/>
    </row>
    <row r="9" spans="1:72" ht="12" customHeight="1" x14ac:dyDescent="0.3"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6"/>
      <c r="AD9" s="95"/>
      <c r="AE9" s="95"/>
      <c r="AF9" s="95"/>
      <c r="BT9" s="98"/>
    </row>
    <row r="10" spans="1:72" ht="12" customHeight="1" x14ac:dyDescent="0.3"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6"/>
      <c r="AD10" s="95"/>
      <c r="AE10" s="95"/>
      <c r="AF10" s="95"/>
      <c r="BT10" s="98"/>
    </row>
    <row r="11" spans="1:72" ht="12" customHeight="1" x14ac:dyDescent="0.3"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6"/>
      <c r="AD11" s="95"/>
      <c r="AE11" s="95"/>
      <c r="AF11" s="95"/>
      <c r="BT11" s="98"/>
    </row>
    <row r="12" spans="1:72" ht="12" customHeight="1" x14ac:dyDescent="0.3"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6"/>
      <c r="AD12" s="95"/>
      <c r="AE12" s="95"/>
      <c r="AF12" s="95"/>
      <c r="BT12" s="98"/>
    </row>
    <row r="13" spans="1:72" ht="12" customHeight="1" x14ac:dyDescent="0.3"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6"/>
      <c r="AD13" s="95"/>
      <c r="AE13" s="95"/>
      <c r="AF13" s="95"/>
      <c r="BT13" s="98"/>
    </row>
    <row r="14" spans="1:72" ht="12" customHeight="1" x14ac:dyDescent="0.3"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6"/>
      <c r="AD14" s="95"/>
      <c r="AE14" s="95"/>
      <c r="AF14" s="95"/>
      <c r="BT14" s="98"/>
    </row>
    <row r="15" spans="1:72" ht="12" customHeight="1" x14ac:dyDescent="0.3"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6"/>
      <c r="AD15" s="95"/>
      <c r="AE15" s="95"/>
      <c r="AF15" s="95"/>
      <c r="BT15" s="98"/>
    </row>
    <row r="16" spans="1:72" ht="12" customHeight="1" x14ac:dyDescent="0.3"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6"/>
      <c r="AD16" s="95"/>
      <c r="AE16" s="95"/>
      <c r="AF16" s="95"/>
      <c r="BT16" s="98"/>
    </row>
    <row r="17" spans="7:72" ht="12" customHeight="1" x14ac:dyDescent="0.3"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6"/>
      <c r="AD17" s="95"/>
      <c r="AE17" s="95"/>
      <c r="AF17" s="95"/>
      <c r="BT17" s="98"/>
    </row>
    <row r="18" spans="7:72" ht="12" customHeight="1" x14ac:dyDescent="0.3"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6"/>
      <c r="AD18" s="95"/>
      <c r="AE18" s="95"/>
      <c r="AF18" s="95"/>
      <c r="BT18" s="98"/>
    </row>
    <row r="19" spans="7:72" ht="12" customHeight="1" x14ac:dyDescent="0.3"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6"/>
      <c r="AD19" s="95"/>
      <c r="AE19" s="95"/>
      <c r="AF19" s="95"/>
      <c r="BT19" s="98"/>
    </row>
    <row r="20" spans="7:72" ht="12" customHeight="1" x14ac:dyDescent="0.3"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6"/>
      <c r="AD20" s="95"/>
      <c r="AE20" s="95"/>
      <c r="AF20" s="95"/>
      <c r="BT20" s="98"/>
    </row>
    <row r="21" spans="7:72" ht="12" customHeight="1" x14ac:dyDescent="0.3"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108" t="s">
        <v>120</v>
      </c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 t="s">
        <v>121</v>
      </c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 t="s">
        <v>122</v>
      </c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</row>
    <row r="22" spans="7:72" ht="12" customHeight="1" x14ac:dyDescent="0.3"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</row>
    <row r="23" spans="7:72" ht="12" customHeight="1" x14ac:dyDescent="0.3"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</row>
    <row r="24" spans="7:72" ht="12" customHeight="1" x14ac:dyDescent="0.3"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124" t="s">
        <v>8</v>
      </c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 t="s">
        <v>10</v>
      </c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 t="s">
        <v>14</v>
      </c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  <c r="BF24" s="124"/>
      <c r="BG24" s="124"/>
    </row>
    <row r="25" spans="7:72" ht="12" customHeight="1" x14ac:dyDescent="0.3"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24"/>
      <c r="BG25" s="124"/>
    </row>
    <row r="26" spans="7:72" ht="12" customHeight="1" x14ac:dyDescent="0.3"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4"/>
    </row>
    <row r="27" spans="7:72" ht="12" customHeight="1" x14ac:dyDescent="0.3"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25" t="s">
        <v>132</v>
      </c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 t="s">
        <v>133</v>
      </c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 t="s">
        <v>134</v>
      </c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</row>
    <row r="28" spans="7:72" ht="12" customHeight="1" x14ac:dyDescent="0.3"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</row>
    <row r="29" spans="7:72" ht="12" customHeight="1" x14ac:dyDescent="0.3"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</row>
    <row r="30" spans="7:72" ht="12" customHeight="1" x14ac:dyDescent="0.3"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6"/>
      <c r="AD30" s="95"/>
      <c r="AE30" s="95"/>
      <c r="AF30" s="95"/>
    </row>
    <row r="31" spans="7:72" ht="12" customHeight="1" x14ac:dyDescent="0.3"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6"/>
      <c r="AD31" s="95"/>
      <c r="AE31" s="95"/>
      <c r="AF31" s="95"/>
    </row>
    <row r="32" spans="7:72" ht="12" customHeight="1" x14ac:dyDescent="0.3"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6"/>
      <c r="AD32" s="95"/>
      <c r="AE32" s="95"/>
      <c r="AF32" s="95"/>
    </row>
    <row r="33" spans="7:68" ht="12" customHeight="1" x14ac:dyDescent="0.3"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6"/>
      <c r="AD33" s="95"/>
      <c r="AE33" s="95"/>
      <c r="AF33" s="95"/>
    </row>
    <row r="34" spans="7:68" ht="12" customHeight="1" x14ac:dyDescent="0.3"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6"/>
      <c r="AD34" s="95"/>
      <c r="AE34" s="95"/>
      <c r="AF34" s="95"/>
    </row>
    <row r="35" spans="7:68" ht="12" customHeight="1" x14ac:dyDescent="0.3"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6"/>
      <c r="AD35" s="95"/>
      <c r="AE35" s="95"/>
      <c r="AF35" s="95"/>
    </row>
    <row r="36" spans="7:68" ht="12" customHeight="1" x14ac:dyDescent="0.3"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6"/>
      <c r="AD36" s="95"/>
      <c r="AE36" s="95"/>
      <c r="AF36" s="95"/>
      <c r="BK36" s="99"/>
      <c r="BL36" s="99"/>
      <c r="BM36" s="99"/>
      <c r="BN36" s="99"/>
      <c r="BO36" s="99"/>
      <c r="BP36" s="99"/>
    </row>
    <row r="37" spans="7:68" ht="12" customHeight="1" x14ac:dyDescent="0.3"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6"/>
      <c r="AD37" s="95"/>
      <c r="AE37" s="95"/>
      <c r="AF37" s="95"/>
    </row>
    <row r="38" spans="7:68" ht="12" customHeight="1" x14ac:dyDescent="0.3"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6"/>
      <c r="AD38" s="95"/>
      <c r="AE38" s="95"/>
      <c r="AF38" s="95"/>
    </row>
    <row r="39" spans="7:68" ht="12" customHeight="1" x14ac:dyDescent="0.3">
      <c r="G39" s="95"/>
      <c r="H39" s="95"/>
      <c r="I39" s="95"/>
      <c r="J39" s="95"/>
      <c r="K39" s="95"/>
      <c r="L39" s="95"/>
      <c r="M39" s="95"/>
      <c r="N39" s="95"/>
      <c r="O39" s="109" t="s">
        <v>123</v>
      </c>
      <c r="P39" s="109"/>
      <c r="Q39" s="109"/>
      <c r="R39" s="109"/>
      <c r="S39" s="109"/>
      <c r="T39" s="109"/>
      <c r="U39" s="109"/>
      <c r="V39" s="109" t="s">
        <v>124</v>
      </c>
      <c r="W39" s="109"/>
      <c r="X39" s="109"/>
      <c r="Y39" s="109"/>
      <c r="Z39" s="109"/>
      <c r="AA39" s="109"/>
      <c r="AB39" s="109"/>
      <c r="AC39" s="110" t="s">
        <v>125</v>
      </c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 t="s">
        <v>126</v>
      </c>
      <c r="AQ39" s="109"/>
      <c r="AR39" s="109"/>
      <c r="AS39" s="109"/>
      <c r="AT39" s="109"/>
      <c r="AU39" s="109"/>
      <c r="AV39" s="109"/>
      <c r="AW39" s="109" t="s">
        <v>127</v>
      </c>
      <c r="AX39" s="109"/>
      <c r="AY39" s="109"/>
      <c r="AZ39" s="109"/>
      <c r="BA39" s="109"/>
      <c r="BB39" s="109"/>
      <c r="BC39" s="109"/>
      <c r="BD39" s="109" t="s">
        <v>128</v>
      </c>
      <c r="BE39" s="109"/>
      <c r="BF39" s="109"/>
      <c r="BG39" s="109"/>
      <c r="BH39" s="109"/>
      <c r="BI39" s="109"/>
      <c r="BJ39" s="109"/>
    </row>
    <row r="40" spans="7:68" ht="12" customHeight="1" x14ac:dyDescent="0.3">
      <c r="G40" s="95"/>
      <c r="H40" s="95"/>
      <c r="I40" s="95"/>
      <c r="J40" s="95"/>
      <c r="K40" s="95"/>
      <c r="L40" s="95"/>
      <c r="M40" s="95"/>
      <c r="N40" s="95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10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</row>
    <row r="41" spans="7:68" ht="12" customHeight="1" x14ac:dyDescent="0.3">
      <c r="G41" s="95"/>
      <c r="H41" s="95"/>
      <c r="I41" s="95"/>
      <c r="J41" s="95"/>
      <c r="K41" s="95"/>
      <c r="L41" s="95"/>
      <c r="M41" s="95"/>
      <c r="N41" s="95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10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</row>
    <row r="42" spans="7:68" ht="12" customHeight="1" x14ac:dyDescent="0.3">
      <c r="G42" s="95"/>
      <c r="H42" s="95"/>
      <c r="I42" s="95"/>
      <c r="J42" s="95"/>
      <c r="K42" s="95"/>
      <c r="L42" s="95"/>
      <c r="M42" s="95"/>
      <c r="N42" s="95"/>
      <c r="O42" s="129" t="s">
        <v>5</v>
      </c>
      <c r="P42" s="129"/>
      <c r="Q42" s="129"/>
      <c r="R42" s="129"/>
      <c r="S42" s="129"/>
      <c r="T42" s="129"/>
      <c r="U42" s="129"/>
      <c r="V42" s="129" t="s">
        <v>8</v>
      </c>
      <c r="W42" s="129"/>
      <c r="X42" s="129"/>
      <c r="Y42" s="129"/>
      <c r="Z42" s="129"/>
      <c r="AA42" s="129"/>
      <c r="AB42" s="129"/>
      <c r="AC42" s="130" t="s">
        <v>129</v>
      </c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31" t="str">
        <f>'DS BOMBA'!$D$66</f>
        <v>23/04/2026</v>
      </c>
      <c r="AQ42" s="129"/>
      <c r="AR42" s="129"/>
      <c r="AS42" s="129"/>
      <c r="AT42" s="129"/>
      <c r="AU42" s="129"/>
      <c r="AV42" s="129"/>
      <c r="AW42" s="131">
        <v>46141</v>
      </c>
      <c r="AX42" s="129"/>
      <c r="AY42" s="129"/>
      <c r="AZ42" s="129"/>
      <c r="BA42" s="129"/>
      <c r="BB42" s="129"/>
      <c r="BC42" s="129"/>
      <c r="BD42" s="129" t="s">
        <v>10</v>
      </c>
      <c r="BE42" s="129"/>
      <c r="BF42" s="129"/>
      <c r="BG42" s="129"/>
      <c r="BH42" s="129"/>
      <c r="BI42" s="129"/>
      <c r="BJ42" s="129"/>
    </row>
    <row r="43" spans="7:68" ht="12" customHeight="1" x14ac:dyDescent="0.3">
      <c r="G43" s="95"/>
      <c r="H43" s="95"/>
      <c r="I43" s="95"/>
      <c r="J43" s="95"/>
      <c r="K43" s="95"/>
      <c r="L43" s="95"/>
      <c r="M43" s="95"/>
      <c r="N43" s="95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30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29"/>
      <c r="BP43" s="95"/>
    </row>
    <row r="44" spans="7:68" ht="12" customHeight="1" x14ac:dyDescent="0.3">
      <c r="G44" s="95"/>
      <c r="H44" s="95"/>
      <c r="I44" s="95"/>
      <c r="J44" s="95"/>
      <c r="K44" s="95"/>
      <c r="L44" s="95"/>
      <c r="M44" s="95"/>
      <c r="N44" s="95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30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29"/>
      <c r="BJ44" s="129"/>
    </row>
    <row r="45" spans="7:68" ht="12" customHeight="1" x14ac:dyDescent="0.3">
      <c r="G45" s="95"/>
      <c r="H45" s="95"/>
      <c r="I45" s="95"/>
      <c r="J45" s="95"/>
      <c r="K45" s="95"/>
      <c r="L45" s="95"/>
      <c r="M45" s="95"/>
      <c r="N45" s="95"/>
      <c r="O45" s="129" t="s">
        <v>130</v>
      </c>
      <c r="P45" s="129"/>
      <c r="Q45" s="129"/>
      <c r="R45" s="129"/>
      <c r="S45" s="129"/>
      <c r="T45" s="129"/>
      <c r="U45" s="129"/>
      <c r="V45" s="129" t="s">
        <v>8</v>
      </c>
      <c r="W45" s="129"/>
      <c r="X45" s="129"/>
      <c r="Y45" s="129"/>
      <c r="Z45" s="129"/>
      <c r="AA45" s="129"/>
      <c r="AB45" s="129"/>
      <c r="AC45" s="130" t="s">
        <v>131</v>
      </c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31">
        <v>46138</v>
      </c>
      <c r="AQ45" s="129"/>
      <c r="AR45" s="129"/>
      <c r="AS45" s="129"/>
      <c r="AT45" s="129"/>
      <c r="AU45" s="129"/>
      <c r="AV45" s="129"/>
      <c r="AW45" s="131">
        <v>46141</v>
      </c>
      <c r="AX45" s="129"/>
      <c r="AY45" s="129"/>
      <c r="AZ45" s="129"/>
      <c r="BA45" s="129"/>
      <c r="BB45" s="129"/>
      <c r="BC45" s="129"/>
      <c r="BD45" s="129" t="s">
        <v>10</v>
      </c>
      <c r="BE45" s="129"/>
      <c r="BF45" s="129"/>
      <c r="BG45" s="129"/>
      <c r="BH45" s="129"/>
      <c r="BI45" s="129"/>
      <c r="BJ45" s="129"/>
    </row>
    <row r="46" spans="7:68" ht="12" customHeight="1" x14ac:dyDescent="0.3">
      <c r="G46" s="95"/>
      <c r="H46" s="95"/>
      <c r="I46" s="95"/>
      <c r="J46" s="95"/>
      <c r="K46" s="95"/>
      <c r="L46" s="95"/>
      <c r="M46" s="95"/>
      <c r="N46" s="95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30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</row>
    <row r="47" spans="7:68" ht="12" customHeight="1" x14ac:dyDescent="0.3">
      <c r="G47" s="95"/>
      <c r="H47" s="95"/>
      <c r="I47" s="95"/>
      <c r="J47" s="95"/>
      <c r="K47" s="95"/>
      <c r="L47" s="95"/>
      <c r="M47" s="95"/>
      <c r="N47" s="95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30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</row>
    <row r="48" spans="7:68" ht="12" customHeight="1" x14ac:dyDescent="0.3"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</row>
    <row r="49" spans="15:68" ht="12" customHeight="1" x14ac:dyDescent="0.3"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</row>
    <row r="50" spans="15:68" ht="12" customHeight="1" x14ac:dyDescent="0.3"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</row>
    <row r="52" spans="15:68" ht="12" customHeight="1" x14ac:dyDescent="0.3">
      <c r="BH52" s="101"/>
      <c r="BI52" s="101"/>
      <c r="BJ52" s="101"/>
      <c r="BK52" s="101"/>
      <c r="BL52" s="101"/>
      <c r="BM52" s="102"/>
      <c r="BN52" s="102"/>
      <c r="BO52" s="102"/>
      <c r="BP52" s="102"/>
    </row>
    <row r="54" spans="15:68" ht="12" customHeight="1" x14ac:dyDescent="0.3"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4"/>
      <c r="AQ54" s="104"/>
      <c r="AR54" s="104"/>
      <c r="AW54" s="94"/>
      <c r="AX54" s="94"/>
      <c r="AY54" s="94"/>
      <c r="AZ54" s="94"/>
      <c r="BA54" s="94"/>
    </row>
  </sheetData>
  <mergeCells count="47">
    <mergeCell ref="BI4:BP4"/>
    <mergeCell ref="BI5:BP5"/>
    <mergeCell ref="BI6:BP6"/>
    <mergeCell ref="O48:U50"/>
    <mergeCell ref="V48:AB50"/>
    <mergeCell ref="AC48:AO50"/>
    <mergeCell ref="AP48:AV50"/>
    <mergeCell ref="AW48:BC50"/>
    <mergeCell ref="BD48:BJ50"/>
    <mergeCell ref="O45:U47"/>
    <mergeCell ref="V45:AB47"/>
    <mergeCell ref="AC45:AO47"/>
    <mergeCell ref="AP45:AV47"/>
    <mergeCell ref="AW45:BC47"/>
    <mergeCell ref="BD45:BJ47"/>
    <mergeCell ref="O42:U44"/>
    <mergeCell ref="V42:AB44"/>
    <mergeCell ref="AC42:AO44"/>
    <mergeCell ref="AP42:AV44"/>
    <mergeCell ref="AW42:BC44"/>
    <mergeCell ref="BD42:BJ44"/>
    <mergeCell ref="R27:AE29"/>
    <mergeCell ref="AF27:AS29"/>
    <mergeCell ref="AT27:BG29"/>
    <mergeCell ref="BK36:BP36"/>
    <mergeCell ref="O39:U41"/>
    <mergeCell ref="V39:AB41"/>
    <mergeCell ref="AC39:AO41"/>
    <mergeCell ref="AP39:AV41"/>
    <mergeCell ref="AW39:BC41"/>
    <mergeCell ref="BD39:BJ41"/>
    <mergeCell ref="R21:AE23"/>
    <mergeCell ref="AF21:AS23"/>
    <mergeCell ref="AT21:BG23"/>
    <mergeCell ref="R24:AE26"/>
    <mergeCell ref="AF24:AS26"/>
    <mergeCell ref="AT24:BG26"/>
    <mergeCell ref="A1:M5"/>
    <mergeCell ref="N1:Y5"/>
    <mergeCell ref="Z1:BB2"/>
    <mergeCell ref="BI1:BP1"/>
    <mergeCell ref="Z3:BB4"/>
    <mergeCell ref="BI3:BP3"/>
    <mergeCell ref="Z5:BB6"/>
    <mergeCell ref="A6:M6"/>
    <mergeCell ref="N6:Y6"/>
    <mergeCell ref="BI2:BP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70" orientation="landscape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67"/>
  <sheetViews>
    <sheetView showGridLines="0" tabSelected="1" view="pageBreakPreview" zoomScale="55" zoomScaleNormal="85" zoomScaleSheetLayoutView="55" zoomScalePageLayoutView="40" workbookViewId="0">
      <selection activeCell="CE21" sqref="CE21"/>
    </sheetView>
  </sheetViews>
  <sheetFormatPr baseColWidth="10" defaultColWidth="9.33203125" defaultRowHeight="20.100000000000001" customHeight="1" x14ac:dyDescent="0.25"/>
  <cols>
    <col min="1" max="20" width="13.77734375" style="1" customWidth="1"/>
    <col min="21" max="22" width="9.33203125" style="1" customWidth="1"/>
    <col min="23" max="16384" width="9.33203125" style="1"/>
  </cols>
  <sheetData>
    <row r="1" spans="1:68" ht="20.100000000000001" customHeight="1" x14ac:dyDescent="0.25">
      <c r="A1" s="34"/>
      <c r="B1" s="21"/>
      <c r="C1" s="34"/>
      <c r="D1" s="21"/>
      <c r="E1" s="30" t="s">
        <v>0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8"/>
      <c r="Q1" s="45" t="s">
        <v>1</v>
      </c>
      <c r="R1" s="28"/>
      <c r="S1" s="46" t="s">
        <v>2</v>
      </c>
      <c r="T1" s="28"/>
    </row>
    <row r="2" spans="1:68" ht="20.100000000000001" customHeight="1" x14ac:dyDescent="0.25">
      <c r="A2" s="35"/>
      <c r="B2" s="36"/>
      <c r="C2" s="35"/>
      <c r="D2" s="36"/>
      <c r="E2" s="30" t="s">
        <v>3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21"/>
      <c r="Q2" s="45" t="s">
        <v>4</v>
      </c>
      <c r="R2" s="28"/>
      <c r="S2" s="46" t="s">
        <v>130</v>
      </c>
      <c r="T2" s="28"/>
    </row>
    <row r="3" spans="1:68" ht="20.100000000000001" customHeight="1" x14ac:dyDescent="0.25">
      <c r="A3" s="35"/>
      <c r="B3" s="36"/>
      <c r="C3" s="35"/>
      <c r="D3" s="36"/>
      <c r="E3" s="37"/>
      <c r="F3" s="24"/>
      <c r="G3" s="24"/>
      <c r="H3" s="24"/>
      <c r="I3" s="24"/>
      <c r="J3" s="24"/>
      <c r="K3" s="24"/>
      <c r="L3" s="24"/>
      <c r="M3" s="24"/>
      <c r="N3" s="24"/>
      <c r="O3" s="24"/>
      <c r="P3" s="25"/>
      <c r="Q3" s="45" t="s">
        <v>111</v>
      </c>
      <c r="R3" s="28"/>
      <c r="S3" s="139">
        <v>46138</v>
      </c>
      <c r="T3" s="140"/>
      <c r="BI3" s="135"/>
      <c r="BJ3" s="135"/>
      <c r="BK3" s="135"/>
      <c r="BL3" s="135"/>
      <c r="BM3" s="135"/>
      <c r="BN3" s="135"/>
      <c r="BO3" s="135"/>
      <c r="BP3" s="135"/>
    </row>
    <row r="4" spans="1:68" ht="20.100000000000001" customHeight="1" x14ac:dyDescent="0.25">
      <c r="A4" s="35"/>
      <c r="B4" s="36"/>
      <c r="C4" s="35"/>
      <c r="D4" s="36"/>
      <c r="E4" s="54" t="s">
        <v>6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21"/>
      <c r="Q4" s="45" t="s">
        <v>7</v>
      </c>
      <c r="R4" s="28"/>
      <c r="S4" s="46" t="s">
        <v>8</v>
      </c>
      <c r="T4" s="28"/>
    </row>
    <row r="5" spans="1:68" ht="20.100000000000001" customHeight="1" x14ac:dyDescent="0.25">
      <c r="A5" s="37"/>
      <c r="B5" s="25"/>
      <c r="C5" s="37"/>
      <c r="D5" s="25"/>
      <c r="E5" s="35"/>
      <c r="F5" s="53"/>
      <c r="G5" s="53"/>
      <c r="H5" s="53"/>
      <c r="I5" s="53"/>
      <c r="J5" s="53"/>
      <c r="K5" s="53"/>
      <c r="L5" s="53"/>
      <c r="M5" s="53"/>
      <c r="N5" s="53"/>
      <c r="O5" s="53"/>
      <c r="P5" s="36"/>
      <c r="Q5" s="45" t="s">
        <v>9</v>
      </c>
      <c r="R5" s="28"/>
      <c r="S5" s="46" t="s">
        <v>10</v>
      </c>
      <c r="T5" s="28"/>
    </row>
    <row r="6" spans="1:68" ht="20.100000000000001" customHeight="1" x14ac:dyDescent="0.25">
      <c r="A6" s="78" t="s">
        <v>11</v>
      </c>
      <c r="B6" s="79"/>
      <c r="C6" s="20" t="s">
        <v>12</v>
      </c>
      <c r="D6" s="21"/>
      <c r="E6" s="55"/>
      <c r="F6" s="56"/>
      <c r="G6" s="56"/>
      <c r="H6" s="56"/>
      <c r="I6" s="56"/>
      <c r="J6" s="56"/>
      <c r="K6" s="56"/>
      <c r="L6" s="56"/>
      <c r="M6" s="56"/>
      <c r="N6" s="56"/>
      <c r="O6" s="56"/>
      <c r="P6" s="57"/>
      <c r="Q6" s="45" t="s">
        <v>13</v>
      </c>
      <c r="R6" s="28"/>
      <c r="S6" s="46" t="s">
        <v>14</v>
      </c>
      <c r="T6" s="28"/>
    </row>
    <row r="7" spans="1:68" ht="20.100000000000001" customHeight="1" thickBot="1" x14ac:dyDescent="0.3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10">
        <v>17</v>
      </c>
      <c r="R7" s="10">
        <v>18</v>
      </c>
      <c r="S7" s="10">
        <v>19</v>
      </c>
      <c r="T7" s="10">
        <v>20</v>
      </c>
    </row>
    <row r="8" spans="1:68" ht="18" customHeight="1" x14ac:dyDescent="0.25">
      <c r="A8" s="69" t="s">
        <v>15</v>
      </c>
      <c r="B8" s="39"/>
      <c r="C8" s="39"/>
      <c r="D8" s="70"/>
      <c r="E8" s="38" t="s">
        <v>16</v>
      </c>
      <c r="F8" s="39"/>
      <c r="G8" s="39"/>
      <c r="H8" s="40"/>
      <c r="I8" s="85" t="s">
        <v>17</v>
      </c>
      <c r="J8" s="86"/>
      <c r="K8" s="86"/>
      <c r="L8" s="86"/>
      <c r="M8" s="86"/>
      <c r="N8" s="86"/>
      <c r="O8" s="86"/>
      <c r="P8" s="86"/>
      <c r="Q8" s="86"/>
      <c r="R8" s="86"/>
      <c r="S8" s="86"/>
      <c r="T8" s="87"/>
    </row>
    <row r="9" spans="1:68" ht="18" customHeight="1" x14ac:dyDescent="0.25">
      <c r="A9" s="26" t="s">
        <v>18</v>
      </c>
      <c r="B9" s="27"/>
      <c r="C9" s="27"/>
      <c r="D9" s="28"/>
      <c r="E9" s="83" t="s">
        <v>19</v>
      </c>
      <c r="F9" s="27"/>
      <c r="G9" s="27"/>
      <c r="H9" s="32"/>
      <c r="I9" s="88"/>
      <c r="J9" s="89"/>
      <c r="K9" s="89"/>
      <c r="L9" s="89"/>
      <c r="M9" s="89"/>
      <c r="N9" s="89"/>
      <c r="O9" s="89"/>
      <c r="P9" s="89"/>
      <c r="Q9" s="89"/>
      <c r="R9" s="89"/>
      <c r="S9" s="89"/>
      <c r="T9" s="90"/>
    </row>
    <row r="10" spans="1:68" ht="18" customHeight="1" thickBot="1" x14ac:dyDescent="0.3">
      <c r="A10" s="72" t="s">
        <v>20</v>
      </c>
      <c r="B10" s="43"/>
      <c r="C10" s="43"/>
      <c r="D10" s="51"/>
      <c r="E10" s="42" t="s">
        <v>21</v>
      </c>
      <c r="F10" s="43"/>
      <c r="G10" s="43"/>
      <c r="H10" s="44"/>
      <c r="I10" s="88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0"/>
    </row>
    <row r="11" spans="1:68" ht="18" customHeight="1" x14ac:dyDescent="0.25">
      <c r="A11" s="16" t="s">
        <v>22</v>
      </c>
      <c r="B11" s="17"/>
      <c r="C11" s="17"/>
      <c r="D11" s="17"/>
      <c r="E11" s="18"/>
      <c r="F11" s="18"/>
      <c r="G11" s="18"/>
      <c r="H11" s="19"/>
      <c r="I11" s="88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90"/>
    </row>
    <row r="12" spans="1:68" ht="18" customHeight="1" x14ac:dyDescent="0.25">
      <c r="A12" s="14" t="s">
        <v>23</v>
      </c>
      <c r="B12" s="15"/>
      <c r="C12" s="15"/>
      <c r="D12" s="15"/>
      <c r="E12" s="11"/>
      <c r="F12" s="11"/>
      <c r="G12" s="11"/>
      <c r="H12" s="12"/>
      <c r="I12" s="88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90"/>
    </row>
    <row r="13" spans="1:68" ht="18" customHeight="1" x14ac:dyDescent="0.25">
      <c r="A13" s="14" t="s">
        <v>24</v>
      </c>
      <c r="B13" s="15"/>
      <c r="C13" s="15"/>
      <c r="D13" s="15"/>
      <c r="E13" s="11"/>
      <c r="F13" s="11"/>
      <c r="G13" s="11"/>
      <c r="H13" s="12"/>
      <c r="I13" s="88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90"/>
    </row>
    <row r="14" spans="1:68" ht="18" customHeight="1" x14ac:dyDescent="0.25">
      <c r="A14" s="80" t="s">
        <v>25</v>
      </c>
      <c r="B14" s="81"/>
      <c r="C14" s="81"/>
      <c r="D14" s="81"/>
      <c r="E14" s="81"/>
      <c r="F14" s="81"/>
      <c r="G14" s="81"/>
      <c r="H14" s="82"/>
      <c r="I14" s="88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90"/>
    </row>
    <row r="15" spans="1:68" ht="18" customHeight="1" x14ac:dyDescent="0.25">
      <c r="A15" s="13" t="s">
        <v>26</v>
      </c>
      <c r="B15" s="15"/>
      <c r="C15" s="15"/>
      <c r="D15" s="15"/>
      <c r="E15" s="11"/>
      <c r="F15" s="11"/>
      <c r="G15" s="11"/>
      <c r="H15" s="12"/>
      <c r="I15" s="88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90"/>
    </row>
    <row r="16" spans="1:68" ht="18" customHeight="1" x14ac:dyDescent="0.25">
      <c r="A16" s="14" t="s">
        <v>27</v>
      </c>
      <c r="B16" s="15"/>
      <c r="C16" s="15"/>
      <c r="D16" s="15"/>
      <c r="E16" s="11"/>
      <c r="F16" s="11"/>
      <c r="G16" s="11"/>
      <c r="H16" s="12"/>
      <c r="I16" s="88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90"/>
    </row>
    <row r="17" spans="1:59" ht="18" customHeight="1" thickBot="1" x14ac:dyDescent="0.3">
      <c r="A17" s="14" t="s">
        <v>28</v>
      </c>
      <c r="B17" s="15"/>
      <c r="C17" s="15"/>
      <c r="D17" s="15"/>
      <c r="E17" s="11"/>
      <c r="F17" s="11"/>
      <c r="G17" s="11"/>
      <c r="H17" s="12"/>
      <c r="I17" s="88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90"/>
    </row>
    <row r="18" spans="1:59" ht="18" customHeight="1" x14ac:dyDescent="0.25">
      <c r="A18" s="63" t="s">
        <v>29</v>
      </c>
      <c r="B18" s="64"/>
      <c r="C18" s="64"/>
      <c r="D18" s="64"/>
      <c r="E18" s="64"/>
      <c r="F18" s="64"/>
      <c r="G18" s="64"/>
      <c r="H18" s="65"/>
      <c r="I18" s="88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90"/>
    </row>
    <row r="19" spans="1:59" ht="18" customHeight="1" x14ac:dyDescent="0.25">
      <c r="A19" s="26" t="s">
        <v>30</v>
      </c>
      <c r="B19" s="27"/>
      <c r="C19" s="27"/>
      <c r="D19" s="28"/>
      <c r="E19" s="62" t="s">
        <v>31</v>
      </c>
      <c r="F19" s="27"/>
      <c r="G19" s="27"/>
      <c r="H19" s="32"/>
      <c r="I19" s="88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90"/>
    </row>
    <row r="20" spans="1:59" ht="18" customHeight="1" x14ac:dyDescent="0.25">
      <c r="A20" s="26" t="s">
        <v>32</v>
      </c>
      <c r="B20" s="27"/>
      <c r="C20" s="27"/>
      <c r="D20" s="28"/>
      <c r="E20" s="62" t="s">
        <v>33</v>
      </c>
      <c r="F20" s="27"/>
      <c r="G20" s="27"/>
      <c r="H20" s="32"/>
      <c r="I20" s="88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90"/>
    </row>
    <row r="21" spans="1:59" ht="18" customHeight="1" x14ac:dyDescent="0.25">
      <c r="A21" s="26" t="s">
        <v>34</v>
      </c>
      <c r="B21" s="27"/>
      <c r="C21" s="27"/>
      <c r="D21" s="28"/>
      <c r="E21" s="62" t="s">
        <v>33</v>
      </c>
      <c r="F21" s="27"/>
      <c r="G21" s="27"/>
      <c r="H21" s="32"/>
      <c r="I21" s="88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90"/>
    </row>
    <row r="22" spans="1:59" ht="18" customHeight="1" x14ac:dyDescent="0.25">
      <c r="A22" s="29" t="s">
        <v>35</v>
      </c>
      <c r="B22" s="27"/>
      <c r="C22" s="27"/>
      <c r="D22" s="28"/>
      <c r="E22" s="30" t="s">
        <v>36</v>
      </c>
      <c r="F22" s="28"/>
      <c r="G22" s="31">
        <v>0</v>
      </c>
      <c r="H22" s="32"/>
      <c r="I22" s="88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90"/>
    </row>
    <row r="23" spans="1:59" ht="18" customHeight="1" x14ac:dyDescent="0.25">
      <c r="A23" s="29" t="s">
        <v>37</v>
      </c>
      <c r="B23" s="27"/>
      <c r="C23" s="27"/>
      <c r="D23" s="28"/>
      <c r="E23" s="30" t="s">
        <v>36</v>
      </c>
      <c r="F23" s="28"/>
      <c r="G23" s="31">
        <v>0</v>
      </c>
      <c r="H23" s="32"/>
      <c r="I23" s="88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90"/>
    </row>
    <row r="24" spans="1:59" ht="18" customHeight="1" x14ac:dyDescent="0.25">
      <c r="A24" s="29" t="s">
        <v>38</v>
      </c>
      <c r="B24" s="27"/>
      <c r="C24" s="27"/>
      <c r="D24" s="28"/>
      <c r="E24" s="30"/>
      <c r="F24" s="28"/>
      <c r="G24" s="66">
        <v>0.97030000000000005</v>
      </c>
      <c r="H24" s="32"/>
      <c r="I24" s="88"/>
      <c r="J24" s="89"/>
      <c r="K24" s="89"/>
      <c r="L24" s="89"/>
      <c r="M24" s="89"/>
      <c r="N24" s="89"/>
      <c r="O24" s="89"/>
      <c r="P24" s="89"/>
      <c r="Q24" s="89"/>
      <c r="R24" s="126"/>
      <c r="S24" s="126"/>
      <c r="T24" s="127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 t="s">
        <v>10</v>
      </c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 t="s">
        <v>14</v>
      </c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</row>
    <row r="25" spans="1:59" ht="18" customHeight="1" x14ac:dyDescent="0.25">
      <c r="A25" s="29" t="s">
        <v>39</v>
      </c>
      <c r="B25" s="27"/>
      <c r="C25" s="27"/>
      <c r="D25" s="28"/>
      <c r="E25" s="30" t="s">
        <v>40</v>
      </c>
      <c r="F25" s="28"/>
      <c r="G25" s="67">
        <v>0.34100000000000003</v>
      </c>
      <c r="H25" s="32"/>
      <c r="I25" s="88"/>
      <c r="J25" s="89"/>
      <c r="K25" s="89"/>
      <c r="L25" s="89"/>
      <c r="M25" s="89"/>
      <c r="N25" s="89"/>
      <c r="O25" s="89"/>
      <c r="P25" s="89"/>
      <c r="Q25" s="89"/>
      <c r="R25" s="126"/>
      <c r="S25" s="126"/>
      <c r="T25" s="127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</row>
    <row r="26" spans="1:59" ht="18" customHeight="1" x14ac:dyDescent="0.25">
      <c r="A26" s="29" t="s">
        <v>41</v>
      </c>
      <c r="B26" s="27"/>
      <c r="C26" s="27"/>
      <c r="D26" s="28"/>
      <c r="E26" s="30" t="s">
        <v>42</v>
      </c>
      <c r="F26" s="28"/>
      <c r="G26" s="31">
        <v>0</v>
      </c>
      <c r="H26" s="32"/>
      <c r="I26" s="88"/>
      <c r="J26" s="89"/>
      <c r="K26" s="89"/>
      <c r="L26" s="89"/>
      <c r="M26" s="89"/>
      <c r="N26" s="89"/>
      <c r="O26" s="89"/>
      <c r="P26" s="89"/>
      <c r="Q26" s="89"/>
      <c r="R26" s="126"/>
      <c r="S26" s="126"/>
      <c r="T26" s="127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</row>
    <row r="27" spans="1:59" ht="18" customHeight="1" x14ac:dyDescent="0.25">
      <c r="A27" s="29" t="s">
        <v>43</v>
      </c>
      <c r="B27" s="27"/>
      <c r="C27" s="27"/>
      <c r="D27" s="28"/>
      <c r="E27" s="30" t="s">
        <v>44</v>
      </c>
      <c r="F27" s="28"/>
      <c r="G27" s="31">
        <v>83</v>
      </c>
      <c r="H27" s="32"/>
      <c r="I27" s="88"/>
      <c r="J27" s="89"/>
      <c r="K27" s="89"/>
      <c r="L27" s="89"/>
      <c r="M27" s="89"/>
      <c r="N27" s="89"/>
      <c r="O27" s="89"/>
      <c r="P27" s="89"/>
      <c r="Q27" s="89"/>
      <c r="R27" s="136"/>
      <c r="S27" s="136"/>
      <c r="T27" s="137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 t="s">
        <v>133</v>
      </c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 t="s">
        <v>134</v>
      </c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</row>
    <row r="28" spans="1:59" ht="18" customHeight="1" x14ac:dyDescent="0.25">
      <c r="A28" s="29" t="s">
        <v>45</v>
      </c>
      <c r="B28" s="27"/>
      <c r="C28" s="27"/>
      <c r="D28" s="28"/>
      <c r="E28" s="30" t="s">
        <v>44</v>
      </c>
      <c r="F28" s="28"/>
      <c r="G28" s="67">
        <v>121.1</v>
      </c>
      <c r="H28" s="32"/>
      <c r="I28" s="88"/>
      <c r="J28" s="89"/>
      <c r="K28" s="89"/>
      <c r="L28" s="89"/>
      <c r="M28" s="89"/>
      <c r="N28" s="89"/>
      <c r="O28" s="89"/>
      <c r="P28" s="89"/>
      <c r="Q28" s="89"/>
      <c r="R28" s="136"/>
      <c r="S28" s="136"/>
      <c r="T28" s="137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</row>
    <row r="29" spans="1:59" ht="18" customHeight="1" x14ac:dyDescent="0.25">
      <c r="A29" s="29" t="s">
        <v>46</v>
      </c>
      <c r="B29" s="27"/>
      <c r="C29" s="27"/>
      <c r="D29" s="28"/>
      <c r="E29" s="30"/>
      <c r="F29" s="28"/>
      <c r="G29" s="48" t="s">
        <v>47</v>
      </c>
      <c r="H29" s="32"/>
      <c r="I29" s="88"/>
      <c r="J29" s="89"/>
      <c r="K29" s="89"/>
      <c r="L29" s="89"/>
      <c r="M29" s="89"/>
      <c r="N29" s="89"/>
      <c r="O29" s="89"/>
      <c r="P29" s="89"/>
      <c r="Q29" s="89"/>
      <c r="R29" s="136"/>
      <c r="S29" s="136"/>
      <c r="T29" s="137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</row>
    <row r="30" spans="1:59" ht="18" customHeight="1" x14ac:dyDescent="0.25">
      <c r="A30" s="29" t="s">
        <v>48</v>
      </c>
      <c r="B30" s="27"/>
      <c r="C30" s="27"/>
      <c r="D30" s="28"/>
      <c r="E30" s="30" t="s">
        <v>49</v>
      </c>
      <c r="F30" s="28"/>
      <c r="G30" s="31">
        <v>0</v>
      </c>
      <c r="H30" s="32"/>
      <c r="I30" s="88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90"/>
    </row>
    <row r="31" spans="1:59" ht="18" customHeight="1" x14ac:dyDescent="0.25">
      <c r="A31" s="29" t="s">
        <v>50</v>
      </c>
      <c r="B31" s="27"/>
      <c r="C31" s="27"/>
      <c r="D31" s="28"/>
      <c r="E31" s="30" t="s">
        <v>49</v>
      </c>
      <c r="F31" s="28"/>
      <c r="G31" s="31">
        <v>0</v>
      </c>
      <c r="H31" s="32"/>
      <c r="I31" s="88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90"/>
    </row>
    <row r="32" spans="1:59" ht="18" customHeight="1" thickBot="1" x14ac:dyDescent="0.3">
      <c r="A32" s="50" t="s">
        <v>51</v>
      </c>
      <c r="B32" s="43"/>
      <c r="C32" s="43"/>
      <c r="D32" s="51"/>
      <c r="E32" s="74" t="s">
        <v>52</v>
      </c>
      <c r="F32" s="51"/>
      <c r="G32" s="76">
        <v>3600</v>
      </c>
      <c r="H32" s="44"/>
      <c r="I32" s="88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90"/>
    </row>
    <row r="33" spans="1:62" ht="18" customHeight="1" x14ac:dyDescent="0.25">
      <c r="A33" s="73" t="s">
        <v>53</v>
      </c>
      <c r="B33" s="64"/>
      <c r="C33" s="64"/>
      <c r="D33" s="64"/>
      <c r="E33" s="64"/>
      <c r="F33" s="64"/>
      <c r="G33" s="64"/>
      <c r="H33" s="65"/>
      <c r="I33" s="88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90"/>
    </row>
    <row r="34" spans="1:62" ht="18" customHeight="1" x14ac:dyDescent="0.25">
      <c r="A34" s="29" t="s">
        <v>54</v>
      </c>
      <c r="B34" s="27"/>
      <c r="C34" s="27"/>
      <c r="D34" s="28"/>
      <c r="E34" s="48" t="s">
        <v>55</v>
      </c>
      <c r="F34" s="27"/>
      <c r="G34" s="27"/>
      <c r="H34" s="32"/>
      <c r="I34" s="88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90"/>
    </row>
    <row r="35" spans="1:62" ht="18" customHeight="1" x14ac:dyDescent="0.25">
      <c r="A35" s="29" t="s">
        <v>56</v>
      </c>
      <c r="B35" s="27"/>
      <c r="C35" s="27"/>
      <c r="D35" s="28"/>
      <c r="E35" s="30" t="s">
        <v>57</v>
      </c>
      <c r="F35" s="28"/>
      <c r="G35" s="61">
        <v>33.159999999999997</v>
      </c>
      <c r="H35" s="32"/>
      <c r="I35" s="88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90"/>
    </row>
    <row r="36" spans="1:62" ht="18" customHeight="1" x14ac:dyDescent="0.25">
      <c r="A36" s="29" t="s">
        <v>58</v>
      </c>
      <c r="B36" s="27"/>
      <c r="C36" s="27"/>
      <c r="D36" s="28"/>
      <c r="E36" s="30" t="s">
        <v>59</v>
      </c>
      <c r="F36" s="28"/>
      <c r="G36" s="61">
        <v>82.5</v>
      </c>
      <c r="H36" s="32"/>
      <c r="I36" s="88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90"/>
    </row>
    <row r="37" spans="1:62" ht="18" customHeight="1" x14ac:dyDescent="0.25">
      <c r="A37" s="29" t="s">
        <v>60</v>
      </c>
      <c r="B37" s="27"/>
      <c r="C37" s="27"/>
      <c r="D37" s="28"/>
      <c r="E37" s="30" t="s">
        <v>59</v>
      </c>
      <c r="F37" s="28"/>
      <c r="G37" s="61">
        <v>2.1</v>
      </c>
      <c r="H37" s="32"/>
      <c r="I37" s="88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90"/>
    </row>
    <row r="38" spans="1:62" ht="18" customHeight="1" x14ac:dyDescent="0.25">
      <c r="A38" s="29" t="s">
        <v>61</v>
      </c>
      <c r="B38" s="27"/>
      <c r="C38" s="27"/>
      <c r="D38" s="28"/>
      <c r="E38" s="30" t="s">
        <v>57</v>
      </c>
      <c r="F38" s="28"/>
      <c r="G38" s="61">
        <v>1.1399999999999999</v>
      </c>
      <c r="H38" s="32"/>
      <c r="I38" s="88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90"/>
    </row>
    <row r="39" spans="1:62" ht="18" customHeight="1" x14ac:dyDescent="0.25">
      <c r="A39" s="29" t="s">
        <v>62</v>
      </c>
      <c r="B39" s="27"/>
      <c r="C39" s="27"/>
      <c r="D39" s="28"/>
      <c r="E39" s="30" t="s">
        <v>63</v>
      </c>
      <c r="F39" s="28"/>
      <c r="G39" s="61">
        <v>3600</v>
      </c>
      <c r="H39" s="32"/>
      <c r="I39" s="88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90"/>
    </row>
    <row r="40" spans="1:62" ht="18" customHeight="1" x14ac:dyDescent="0.25">
      <c r="A40" s="29" t="s">
        <v>64</v>
      </c>
      <c r="B40" s="27"/>
      <c r="C40" s="27"/>
      <c r="D40" s="28"/>
      <c r="E40" s="30" t="s">
        <v>65</v>
      </c>
      <c r="F40" s="28"/>
      <c r="G40" s="61">
        <v>55</v>
      </c>
      <c r="H40" s="32"/>
      <c r="I40" s="88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90"/>
    </row>
    <row r="41" spans="1:62" ht="18" customHeight="1" x14ac:dyDescent="0.25">
      <c r="A41" s="29" t="s">
        <v>66</v>
      </c>
      <c r="B41" s="27"/>
      <c r="C41" s="27"/>
      <c r="D41" s="28"/>
      <c r="E41" s="33" t="s">
        <v>67</v>
      </c>
      <c r="F41" s="28"/>
      <c r="G41" s="61">
        <v>18.399999999999999</v>
      </c>
      <c r="H41" s="32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90"/>
    </row>
    <row r="42" spans="1:62" ht="18" customHeight="1" thickBot="1" x14ac:dyDescent="0.3">
      <c r="A42" s="50" t="s">
        <v>68</v>
      </c>
      <c r="B42" s="43"/>
      <c r="C42" s="43"/>
      <c r="D42" s="51"/>
      <c r="E42" s="74" t="s">
        <v>69</v>
      </c>
      <c r="F42" s="51"/>
      <c r="G42" s="71" t="s">
        <v>70</v>
      </c>
      <c r="H42" s="44"/>
      <c r="I42" s="88"/>
      <c r="J42" s="89"/>
      <c r="K42" s="89"/>
      <c r="L42" s="89"/>
      <c r="M42" s="89"/>
      <c r="N42" s="89"/>
      <c r="O42" s="121"/>
      <c r="P42" s="121"/>
      <c r="Q42" s="121"/>
      <c r="R42" s="121"/>
      <c r="S42" s="121"/>
      <c r="T42" s="122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</row>
    <row r="43" spans="1:62" ht="18" customHeight="1" x14ac:dyDescent="0.25">
      <c r="A43" s="84" t="s">
        <v>71</v>
      </c>
      <c r="B43" s="64"/>
      <c r="C43" s="64"/>
      <c r="D43" s="64"/>
      <c r="E43" s="64"/>
      <c r="F43" s="64"/>
      <c r="G43" s="64"/>
      <c r="H43" s="65"/>
      <c r="I43" s="88"/>
      <c r="J43" s="89"/>
      <c r="K43" s="89"/>
      <c r="L43" s="89"/>
      <c r="M43" s="89"/>
      <c r="N43" s="89"/>
      <c r="O43" s="121"/>
      <c r="P43" s="121"/>
      <c r="Q43" s="121"/>
      <c r="R43" s="121"/>
      <c r="S43" s="121"/>
      <c r="T43" s="122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</row>
    <row r="44" spans="1:62" ht="18" customHeight="1" x14ac:dyDescent="0.25">
      <c r="A44" s="59" t="s">
        <v>72</v>
      </c>
      <c r="B44" s="47"/>
      <c r="C44" s="47"/>
      <c r="D44" s="21"/>
      <c r="E44" s="30"/>
      <c r="F44" s="28"/>
      <c r="G44" s="49"/>
      <c r="H44" s="32"/>
      <c r="I44" s="88"/>
      <c r="J44" s="89"/>
      <c r="K44" s="89"/>
      <c r="L44" s="89"/>
      <c r="M44" s="89"/>
      <c r="N44" s="89"/>
      <c r="O44" s="121"/>
      <c r="P44" s="121"/>
      <c r="Q44" s="121"/>
      <c r="R44" s="121"/>
      <c r="S44" s="121"/>
      <c r="T44" s="122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</row>
    <row r="45" spans="1:62" ht="18" customHeight="1" x14ac:dyDescent="0.25">
      <c r="A45" s="52"/>
      <c r="B45" s="53"/>
      <c r="C45" s="53"/>
      <c r="D45" s="36"/>
      <c r="E45" s="30"/>
      <c r="F45" s="28"/>
      <c r="G45" s="49"/>
      <c r="H45" s="32"/>
      <c r="I45" s="88"/>
      <c r="J45" s="89"/>
      <c r="K45" s="89"/>
      <c r="L45" s="89"/>
      <c r="M45" s="89"/>
      <c r="N45" s="89"/>
      <c r="O45" s="121"/>
      <c r="P45" s="121"/>
      <c r="Q45" s="121"/>
      <c r="R45" s="121"/>
      <c r="S45" s="121"/>
      <c r="T45" s="122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</row>
    <row r="46" spans="1:62" ht="18" customHeight="1" x14ac:dyDescent="0.25">
      <c r="A46" s="60"/>
      <c r="B46" s="24"/>
      <c r="C46" s="24"/>
      <c r="D46" s="25"/>
      <c r="E46" s="30"/>
      <c r="F46" s="28"/>
      <c r="G46" s="49"/>
      <c r="H46" s="32"/>
      <c r="I46" s="88"/>
      <c r="J46" s="89"/>
      <c r="K46" s="89"/>
      <c r="L46" s="89"/>
      <c r="M46" s="89"/>
      <c r="N46" s="89"/>
      <c r="O46" s="121"/>
      <c r="P46" s="121"/>
      <c r="Q46" s="121"/>
      <c r="R46" s="121"/>
      <c r="S46" s="121"/>
      <c r="T46" s="122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</row>
    <row r="47" spans="1:62" ht="18" customHeight="1" x14ac:dyDescent="0.25">
      <c r="A47" s="29" t="s">
        <v>73</v>
      </c>
      <c r="B47" s="27"/>
      <c r="C47" s="27"/>
      <c r="D47" s="28"/>
      <c r="E47" s="33" t="s">
        <v>67</v>
      </c>
      <c r="F47" s="28"/>
      <c r="G47" s="49">
        <v>30</v>
      </c>
      <c r="H47" s="32"/>
      <c r="I47" s="88"/>
      <c r="J47" s="89"/>
      <c r="K47" s="89"/>
      <c r="L47" s="89"/>
      <c r="M47" s="89"/>
      <c r="N47" s="89"/>
      <c r="O47" s="121"/>
      <c r="P47" s="121"/>
      <c r="Q47" s="121"/>
      <c r="R47" s="121"/>
      <c r="S47" s="121"/>
      <c r="T47" s="122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</row>
    <row r="48" spans="1:62" ht="18" customHeight="1" x14ac:dyDescent="0.25">
      <c r="A48" s="29" t="s">
        <v>74</v>
      </c>
      <c r="B48" s="27"/>
      <c r="C48" s="27"/>
      <c r="D48" s="28"/>
      <c r="E48" s="41" t="s">
        <v>63</v>
      </c>
      <c r="F48" s="28"/>
      <c r="G48" s="49">
        <v>3600</v>
      </c>
      <c r="H48" s="32"/>
      <c r="I48" s="88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90"/>
    </row>
    <row r="49" spans="1:20" ht="18" customHeight="1" x14ac:dyDescent="0.25">
      <c r="A49" s="29" t="s">
        <v>75</v>
      </c>
      <c r="B49" s="27"/>
      <c r="C49" s="27"/>
      <c r="D49" s="28"/>
      <c r="E49" s="41" t="s">
        <v>76</v>
      </c>
      <c r="F49" s="28"/>
      <c r="G49" s="49" t="s">
        <v>77</v>
      </c>
      <c r="H49" s="32"/>
      <c r="I49" s="88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90"/>
    </row>
    <row r="50" spans="1:20" ht="18" customHeight="1" x14ac:dyDescent="0.25">
      <c r="A50" s="29" t="s">
        <v>78</v>
      </c>
      <c r="B50" s="27"/>
      <c r="C50" s="27"/>
      <c r="D50" s="28"/>
      <c r="E50" s="41" t="s">
        <v>76</v>
      </c>
      <c r="F50" s="28"/>
      <c r="G50" s="49" t="s">
        <v>79</v>
      </c>
      <c r="H50" s="32"/>
      <c r="I50" s="88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90"/>
    </row>
    <row r="51" spans="1:20" ht="18" customHeight="1" x14ac:dyDescent="0.25">
      <c r="A51" s="29" t="s">
        <v>80</v>
      </c>
      <c r="B51" s="27"/>
      <c r="C51" s="27"/>
      <c r="D51" s="28"/>
      <c r="E51" s="33" t="s">
        <v>81</v>
      </c>
      <c r="F51" s="28"/>
      <c r="G51" s="49" t="s">
        <v>82</v>
      </c>
      <c r="H51" s="32"/>
      <c r="I51" s="88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90"/>
    </row>
    <row r="52" spans="1:20" ht="18" customHeight="1" x14ac:dyDescent="0.25">
      <c r="A52" s="29" t="s">
        <v>83</v>
      </c>
      <c r="B52" s="27"/>
      <c r="C52" s="27"/>
      <c r="D52" s="28"/>
      <c r="E52" s="41" t="s">
        <v>76</v>
      </c>
      <c r="F52" s="28"/>
      <c r="G52" s="49" t="s">
        <v>84</v>
      </c>
      <c r="H52" s="32"/>
      <c r="I52" s="88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90"/>
    </row>
    <row r="53" spans="1:20" ht="18" customHeight="1" x14ac:dyDescent="0.25">
      <c r="A53" s="29" t="s">
        <v>18</v>
      </c>
      <c r="B53" s="27"/>
      <c r="C53" s="27"/>
      <c r="D53" s="28"/>
      <c r="E53" s="41" t="s">
        <v>76</v>
      </c>
      <c r="F53" s="28"/>
      <c r="G53" s="49" t="s">
        <v>85</v>
      </c>
      <c r="H53" s="32"/>
      <c r="I53" s="88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90"/>
    </row>
    <row r="54" spans="1:20" ht="18" customHeight="1" x14ac:dyDescent="0.25">
      <c r="A54" s="29" t="s">
        <v>86</v>
      </c>
      <c r="B54" s="27"/>
      <c r="C54" s="27"/>
      <c r="D54" s="28"/>
      <c r="E54" s="41" t="s">
        <v>87</v>
      </c>
      <c r="F54" s="28"/>
      <c r="G54" s="75" t="s">
        <v>88</v>
      </c>
      <c r="H54" s="32"/>
      <c r="I54" s="88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90"/>
    </row>
    <row r="55" spans="1:20" ht="18" customHeight="1" x14ac:dyDescent="0.25">
      <c r="A55" s="29" t="s">
        <v>89</v>
      </c>
      <c r="B55" s="27"/>
      <c r="C55" s="27"/>
      <c r="D55" s="28"/>
      <c r="E55" s="62" t="s">
        <v>90</v>
      </c>
      <c r="F55" s="27"/>
      <c r="G55" s="27"/>
      <c r="H55" s="32"/>
      <c r="I55" s="88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90"/>
    </row>
    <row r="56" spans="1:20" ht="18" customHeight="1" x14ac:dyDescent="0.25">
      <c r="A56" s="29" t="s">
        <v>91</v>
      </c>
      <c r="B56" s="27"/>
      <c r="C56" s="27"/>
      <c r="D56" s="28"/>
      <c r="E56" s="62" t="s">
        <v>92</v>
      </c>
      <c r="F56" s="27"/>
      <c r="G56" s="27"/>
      <c r="H56" s="32"/>
      <c r="I56" s="88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90"/>
    </row>
    <row r="57" spans="1:20" ht="18" customHeight="1" thickBot="1" x14ac:dyDescent="0.3">
      <c r="A57" s="50" t="s">
        <v>93</v>
      </c>
      <c r="B57" s="43"/>
      <c r="C57" s="43"/>
      <c r="D57" s="51"/>
      <c r="E57" s="77" t="s">
        <v>94</v>
      </c>
      <c r="F57" s="43"/>
      <c r="G57" s="43"/>
      <c r="H57" s="44"/>
      <c r="I57" s="91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3"/>
    </row>
    <row r="58" spans="1:20" ht="18" customHeight="1" x14ac:dyDescent="0.25">
      <c r="A58" s="22" t="s">
        <v>95</v>
      </c>
      <c r="B58" s="23"/>
      <c r="C58" s="23"/>
      <c r="D58" s="23"/>
      <c r="E58" s="23"/>
      <c r="F58" s="23"/>
      <c r="G58" s="23"/>
      <c r="H58" s="23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5"/>
    </row>
    <row r="59" spans="1:20" ht="18" customHeight="1" x14ac:dyDescent="0.25">
      <c r="A59" s="8" t="s">
        <v>96</v>
      </c>
      <c r="B59" s="2"/>
      <c r="C59" s="2"/>
      <c r="D59" s="58" t="s">
        <v>97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8"/>
    </row>
    <row r="60" spans="1:20" ht="18" customHeight="1" x14ac:dyDescent="0.25">
      <c r="A60" s="8" t="s">
        <v>98</v>
      </c>
      <c r="B60" s="2"/>
      <c r="C60" s="2"/>
      <c r="D60" s="58" t="s">
        <v>99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8"/>
    </row>
    <row r="61" spans="1:20" ht="18" customHeight="1" x14ac:dyDescent="0.25">
      <c r="A61" s="8" t="s">
        <v>100</v>
      </c>
      <c r="B61" s="2"/>
      <c r="C61" s="2"/>
      <c r="D61" s="41" t="s">
        <v>101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8"/>
    </row>
    <row r="62" spans="1:20" ht="18" customHeight="1" x14ac:dyDescent="0.25">
      <c r="A62" s="8" t="s">
        <v>102</v>
      </c>
      <c r="B62" s="2"/>
      <c r="C62" s="2"/>
      <c r="D62" s="41" t="s">
        <v>103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8"/>
    </row>
    <row r="63" spans="1:20" ht="18" customHeight="1" x14ac:dyDescent="0.25">
      <c r="A63" s="8" t="s">
        <v>104</v>
      </c>
      <c r="B63" s="2"/>
      <c r="C63" s="2"/>
      <c r="D63" s="41" t="s">
        <v>105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8"/>
    </row>
    <row r="64" spans="1:20" ht="18" customHeight="1" x14ac:dyDescent="0.25">
      <c r="A64" s="8" t="s">
        <v>106</v>
      </c>
      <c r="B64" s="2"/>
      <c r="C64" s="2"/>
      <c r="D64" s="41" t="s">
        <v>107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8"/>
    </row>
    <row r="65" spans="1:20" ht="18" customHeight="1" x14ac:dyDescent="0.25">
      <c r="A65" s="3">
        <v>1</v>
      </c>
      <c r="B65" s="4"/>
      <c r="C65" s="4"/>
      <c r="D65" s="105">
        <f>PORTADA!AP45</f>
        <v>46138</v>
      </c>
      <c r="E65" s="106"/>
      <c r="F65" s="30" t="s">
        <v>8</v>
      </c>
      <c r="G65" s="106"/>
      <c r="H65" s="30" t="s">
        <v>10</v>
      </c>
      <c r="I65" s="106"/>
      <c r="J65" s="8" t="s">
        <v>14</v>
      </c>
      <c r="K65" s="30" t="str">
        <f>PORTADA!AC45</f>
        <v>ACTUALIZACION ESCENARIO MAX</v>
      </c>
      <c r="L65" s="107"/>
      <c r="M65" s="107"/>
      <c r="N65" s="107"/>
      <c r="O65" s="107"/>
      <c r="P65" s="107"/>
      <c r="Q65" s="107"/>
      <c r="R65" s="107"/>
      <c r="S65" s="107"/>
      <c r="T65" s="106"/>
    </row>
    <row r="66" spans="1:20" ht="18" customHeight="1" x14ac:dyDescent="0.25">
      <c r="A66" s="3">
        <v>0</v>
      </c>
      <c r="B66" s="4"/>
      <c r="C66" s="4"/>
      <c r="D66" s="105" t="s">
        <v>108</v>
      </c>
      <c r="E66" s="106"/>
      <c r="F66" s="30" t="s">
        <v>8</v>
      </c>
      <c r="G66" s="106"/>
      <c r="H66" s="30" t="s">
        <v>10</v>
      </c>
      <c r="I66" s="106"/>
      <c r="J66" s="8" t="s">
        <v>14</v>
      </c>
      <c r="K66" s="30" t="s">
        <v>109</v>
      </c>
      <c r="L66" s="107"/>
      <c r="M66" s="107"/>
      <c r="N66" s="107"/>
      <c r="O66" s="107"/>
      <c r="P66" s="107"/>
      <c r="Q66" s="107"/>
      <c r="R66" s="107"/>
      <c r="S66" s="107"/>
      <c r="T66" s="106"/>
    </row>
    <row r="67" spans="1:20" ht="18" customHeight="1" x14ac:dyDescent="0.25">
      <c r="A67" s="6" t="s">
        <v>110</v>
      </c>
      <c r="B67" s="7"/>
      <c r="C67" s="7"/>
      <c r="D67" s="68" t="s">
        <v>111</v>
      </c>
      <c r="E67" s="28"/>
      <c r="F67" s="68" t="s">
        <v>112</v>
      </c>
      <c r="G67" s="28"/>
      <c r="H67" s="68" t="s">
        <v>113</v>
      </c>
      <c r="I67" s="28"/>
      <c r="J67" s="5" t="s">
        <v>114</v>
      </c>
      <c r="K67" s="68" t="s">
        <v>115</v>
      </c>
      <c r="L67" s="27"/>
      <c r="M67" s="27"/>
      <c r="N67" s="27"/>
      <c r="O67" s="27"/>
      <c r="P67" s="27"/>
      <c r="Q67" s="27"/>
      <c r="R67" s="27"/>
      <c r="S67" s="27"/>
      <c r="T67" s="28"/>
    </row>
  </sheetData>
  <mergeCells count="151">
    <mergeCell ref="S2:T2"/>
    <mergeCell ref="E56:H56"/>
    <mergeCell ref="E28:F28"/>
    <mergeCell ref="G53:H53"/>
    <mergeCell ref="G28:H28"/>
    <mergeCell ref="E30:F30"/>
    <mergeCell ref="G30:H30"/>
    <mergeCell ref="E45:F45"/>
    <mergeCell ref="A25:D25"/>
    <mergeCell ref="A14:H14"/>
    <mergeCell ref="G45:H45"/>
    <mergeCell ref="E19:H19"/>
    <mergeCell ref="G29:H29"/>
    <mergeCell ref="E9:H9"/>
    <mergeCell ref="G47:H47"/>
    <mergeCell ref="A50:D50"/>
    <mergeCell ref="A43:H43"/>
    <mergeCell ref="A55:D55"/>
    <mergeCell ref="E37:F37"/>
    <mergeCell ref="G31:H31"/>
    <mergeCell ref="G46:H46"/>
    <mergeCell ref="G40:H40"/>
    <mergeCell ref="A47:D47"/>
    <mergeCell ref="E47:F47"/>
    <mergeCell ref="D67:E67"/>
    <mergeCell ref="E41:F41"/>
    <mergeCell ref="A21:D21"/>
    <mergeCell ref="G41:H41"/>
    <mergeCell ref="G50:H50"/>
    <mergeCell ref="A57:D57"/>
    <mergeCell ref="D64:T64"/>
    <mergeCell ref="A32:D32"/>
    <mergeCell ref="A23:D23"/>
    <mergeCell ref="H67:I67"/>
    <mergeCell ref="G52:H52"/>
    <mergeCell ref="E24:F24"/>
    <mergeCell ref="E57:H57"/>
    <mergeCell ref="F65:G65"/>
    <mergeCell ref="A38:D38"/>
    <mergeCell ref="G27:H27"/>
    <mergeCell ref="D63:T63"/>
    <mergeCell ref="E42:F42"/>
    <mergeCell ref="G36:H36"/>
    <mergeCell ref="E35:F35"/>
    <mergeCell ref="A40:D40"/>
    <mergeCell ref="F67:G67"/>
    <mergeCell ref="Q4:R4"/>
    <mergeCell ref="A36:D36"/>
    <mergeCell ref="D61:T61"/>
    <mergeCell ref="E46:F46"/>
    <mergeCell ref="Q6:R6"/>
    <mergeCell ref="E20:H20"/>
    <mergeCell ref="S6:T6"/>
    <mergeCell ref="A33:H33"/>
    <mergeCell ref="H66:I66"/>
    <mergeCell ref="D62:T62"/>
    <mergeCell ref="G51:H51"/>
    <mergeCell ref="A37:D37"/>
    <mergeCell ref="E54:F54"/>
    <mergeCell ref="E32:F32"/>
    <mergeCell ref="G54:H54"/>
    <mergeCell ref="G32:H32"/>
    <mergeCell ref="A6:B6"/>
    <mergeCell ref="Q1:R1"/>
    <mergeCell ref="G24:H24"/>
    <mergeCell ref="E26:F26"/>
    <mergeCell ref="G26:H26"/>
    <mergeCell ref="G35:H35"/>
    <mergeCell ref="E25:F25"/>
    <mergeCell ref="S1:T1"/>
    <mergeCell ref="G25:H25"/>
    <mergeCell ref="K67:T67"/>
    <mergeCell ref="E50:F50"/>
    <mergeCell ref="D59:T59"/>
    <mergeCell ref="G42:H42"/>
    <mergeCell ref="A52:D52"/>
    <mergeCell ref="E52:F52"/>
    <mergeCell ref="A10:D10"/>
    <mergeCell ref="S3:T3"/>
    <mergeCell ref="D65:E65"/>
    <mergeCell ref="E39:F39"/>
    <mergeCell ref="E44:F44"/>
    <mergeCell ref="G39:H39"/>
    <mergeCell ref="E29:F29"/>
    <mergeCell ref="A34:D34"/>
    <mergeCell ref="Q5:R5"/>
    <mergeCell ref="A39:D39"/>
    <mergeCell ref="Q2:R2"/>
    <mergeCell ref="S5:T5"/>
    <mergeCell ref="E2:P3"/>
    <mergeCell ref="E34:H34"/>
    <mergeCell ref="E53:F53"/>
    <mergeCell ref="G44:H44"/>
    <mergeCell ref="E22:F22"/>
    <mergeCell ref="G22:H22"/>
    <mergeCell ref="A42:D42"/>
    <mergeCell ref="S4:T4"/>
    <mergeCell ref="I8:T57"/>
    <mergeCell ref="Q3:R3"/>
    <mergeCell ref="E4:P6"/>
    <mergeCell ref="A53:D53"/>
    <mergeCell ref="A22:D22"/>
    <mergeCell ref="A35:D35"/>
    <mergeCell ref="A19:D19"/>
    <mergeCell ref="E48:F48"/>
    <mergeCell ref="A28:D28"/>
    <mergeCell ref="G48:H48"/>
    <mergeCell ref="A9:D9"/>
    <mergeCell ref="A44:D46"/>
    <mergeCell ref="E38:F38"/>
    <mergeCell ref="G38:H38"/>
    <mergeCell ref="C1:D5"/>
    <mergeCell ref="A24:D24"/>
    <mergeCell ref="A51:D51"/>
    <mergeCell ref="E8:H8"/>
    <mergeCell ref="E49:F49"/>
    <mergeCell ref="A54:D54"/>
    <mergeCell ref="E27:F27"/>
    <mergeCell ref="E36:F36"/>
    <mergeCell ref="A41:D41"/>
    <mergeCell ref="E10:H10"/>
    <mergeCell ref="A27:D27"/>
    <mergeCell ref="A48:D48"/>
    <mergeCell ref="A30:D30"/>
    <mergeCell ref="E21:H21"/>
    <mergeCell ref="A1:B5"/>
    <mergeCell ref="E40:F40"/>
    <mergeCell ref="G49:H49"/>
    <mergeCell ref="A18:H18"/>
    <mergeCell ref="A26:D26"/>
    <mergeCell ref="A8:D8"/>
    <mergeCell ref="G37:H37"/>
    <mergeCell ref="A49:D49"/>
    <mergeCell ref="E31:F31"/>
    <mergeCell ref="E1:P1"/>
    <mergeCell ref="C6:D6"/>
    <mergeCell ref="A58:T58"/>
    <mergeCell ref="A20:D20"/>
    <mergeCell ref="A29:D29"/>
    <mergeCell ref="E23:F23"/>
    <mergeCell ref="G23:H23"/>
    <mergeCell ref="K66:T66"/>
    <mergeCell ref="E51:F51"/>
    <mergeCell ref="A31:D31"/>
    <mergeCell ref="H65:I65"/>
    <mergeCell ref="A56:D56"/>
    <mergeCell ref="D60:T60"/>
    <mergeCell ref="K65:T65"/>
    <mergeCell ref="D66:E66"/>
    <mergeCell ref="F66:G66"/>
    <mergeCell ref="E55:H55"/>
  </mergeCells>
  <printOptions horizontalCentered="1" verticalCentered="1"/>
  <pageMargins left="3.937007874015748E-2" right="3.937007874015748E-2" top="3.937007874015748E-2" bottom="3.937007874015748E-2" header="3.937007874015748E-2" footer="3.937007874015748E-2"/>
  <pageSetup scale="50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PORTADA</vt:lpstr>
      <vt:lpstr>DS BOMBA</vt:lpstr>
      <vt:lpstr>'DS BOMBA'!Área_de_impresión</vt:lpstr>
      <vt:lpstr>PORTADA!Área_de_impresión</vt:lpstr>
      <vt:lpstr>'DS BOMBA'!Títulos_a_imprimir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P1923-PR-DT-001%20TANQUE%20DE%20MEZCLA%20REV%200 (version 1).xlsb</dc:title>
  <dc:creator>jonat</dc:creator>
  <cp:lastModifiedBy>JAG DESIGN</cp:lastModifiedBy>
  <cp:lastPrinted>2026-04-29T20:37:00Z</cp:lastPrinted>
  <dcterms:created xsi:type="dcterms:W3CDTF">2025-05-28T14:33:12Z</dcterms:created>
  <dcterms:modified xsi:type="dcterms:W3CDTF">2026-04-29T20:37:33Z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2019-06-04T00:00:00Z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2025-05-28T00:00:00Z</vt:filetime>
  </property>
  <property fmtid="{D5CDD505-2E9C-101B-9397-08002B2CF9AE}" pid="5" name="Producer">
    <vt:lpwstr>Acrobat Distiller 19.0 (Windows)</vt:lpwstr>
  </property>
</Properties>
</file>